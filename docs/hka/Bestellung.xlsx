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x\Coding\sdr-analog-frontend\docs\hka\"/>
    </mc:Choice>
  </mc:AlternateContent>
  <xr:revisionPtr revIDLastSave="0" documentId="13_ncr:1_{0553B27B-67EE-4034-8FFB-12A52EBD42A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2" i="1" l="1"/>
  <c r="E52" i="1" s="1"/>
  <c r="E59" i="1"/>
  <c r="E60" i="1"/>
  <c r="E61" i="1"/>
  <c r="E62" i="1"/>
  <c r="E63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51" i="1"/>
  <c r="E53" i="1"/>
  <c r="E54" i="1"/>
  <c r="E55" i="1"/>
  <c r="E56" i="1"/>
  <c r="E57" i="1"/>
  <c r="E58" i="1"/>
  <c r="A24" i="1"/>
  <c r="E24" i="1" s="1"/>
  <c r="E32" i="1"/>
  <c r="E31" i="1"/>
  <c r="E30" i="1"/>
  <c r="E39" i="1"/>
  <c r="E38" i="1"/>
  <c r="E37" i="1"/>
  <c r="E35" i="1"/>
  <c r="E34" i="1"/>
  <c r="E33" i="1"/>
  <c r="E41" i="1"/>
  <c r="E40" i="1"/>
  <c r="E36" i="1"/>
  <c r="E44" i="1"/>
  <c r="E43" i="1"/>
  <c r="E42" i="1"/>
  <c r="E26" i="1"/>
  <c r="E29" i="1"/>
  <c r="E28" i="1"/>
  <c r="E27" i="1"/>
  <c r="E25" i="1"/>
  <c r="E46" i="1"/>
  <c r="E47" i="1"/>
  <c r="E48" i="1"/>
  <c r="E49" i="1"/>
  <c r="E50" i="1"/>
  <c r="E23" i="1"/>
  <c r="E45" i="1"/>
  <c r="E101" i="1" l="1"/>
  <c r="E102" i="1" l="1"/>
  <c r="E103" i="1" s="1"/>
</calcChain>
</file>

<file path=xl/sharedStrings.xml><?xml version="1.0" encoding="utf-8"?>
<sst xmlns="http://schemas.openxmlformats.org/spreadsheetml/2006/main" count="123" uniqueCount="123">
  <si>
    <t>Artikel.-Nr.</t>
  </si>
  <si>
    <t>Beschreibung</t>
  </si>
  <si>
    <t>Summe €</t>
  </si>
  <si>
    <t>PLZ,Ort</t>
  </si>
  <si>
    <t>Besteller:</t>
  </si>
  <si>
    <t>Einzel Preis €</t>
  </si>
  <si>
    <t xml:space="preserve">Angebotsnummer: </t>
  </si>
  <si>
    <t>Stückzahl</t>
  </si>
  <si>
    <t>Kostenstelle:</t>
  </si>
  <si>
    <t>Fond:</t>
  </si>
  <si>
    <t>Preise Ohne MwSt!</t>
  </si>
  <si>
    <t>Lieferant</t>
  </si>
  <si>
    <t>Wer will es haben?</t>
  </si>
  <si>
    <t>Wer Zahlt?</t>
  </si>
  <si>
    <t>E-Mail: (Lieferant)</t>
  </si>
  <si>
    <t>oder PSP Element</t>
  </si>
  <si>
    <t>Raum:</t>
  </si>
  <si>
    <t>Gesamt</t>
  </si>
  <si>
    <t>Summe</t>
  </si>
  <si>
    <t>zzgl. Mwst</t>
  </si>
  <si>
    <t>ggf. Betreuer</t>
  </si>
  <si>
    <t>Bestell-Links</t>
  </si>
  <si>
    <t>Firma</t>
  </si>
  <si>
    <t>Straße +HNr</t>
  </si>
  <si>
    <t>ggf. Webseite</t>
  </si>
  <si>
    <t xml:space="preserve">Mouser Electronics, Inc. </t>
  </si>
  <si>
    <t>Georg-Brauchle-Ring 53</t>
  </si>
  <si>
    <t>80992 Munich</t>
  </si>
  <si>
    <t>https://www.mouser.de/en/</t>
  </si>
  <si>
    <t>muenchen@mouser.com</t>
  </si>
  <si>
    <t>Jan Hoegen</t>
  </si>
  <si>
    <t>Tristan Itschner</t>
  </si>
  <si>
    <t>N-206</t>
  </si>
  <si>
    <t>CC0603KRX7R9BB104</t>
  </si>
  <si>
    <t>Kondensator aus mehreren Keramikschichten MLCC - SMD/SMT 50 V 0.1uF X7R 0603 10%</t>
  </si>
  <si>
    <t>CC0603KPX7R8BB105</t>
  </si>
  <si>
    <t>Kondensator aus mehreren Keramikschichten MLCC - SMD/SMT 25V 1uF X7R 0603 10% HI CV</t>
  </si>
  <si>
    <t>CC0603MRX7R5BB475</t>
  </si>
  <si>
    <t>Kondensator aus mehreren Keramikschichten MLCC - SMD/SMT 6.3V 4.7uF X7R 0603 20% HI CV</t>
  </si>
  <si>
    <t>TPSF157K010R0200</t>
  </si>
  <si>
    <t>Tantalkondensatoren - fest für SMD 10V 150uF 10% Tol. 200 ESR</t>
  </si>
  <si>
    <t>C0402T101J5GACTU</t>
  </si>
  <si>
    <t>Kondensator aus mehreren Keramikschichten MLCC - SMD/SMT 50V 100pF C0G 0402 5%</t>
  </si>
  <si>
    <t>Kondensator aus mehreren Keramikschichten MLCC - SMD/SMT KGM03BR50J105MH NEW GLOBAL PN 1uF 20% 6. A 581-KGM03BR50J105MH</t>
  </si>
  <si>
    <t>CM03X5R105M06AH</t>
  </si>
  <si>
    <t>C0402X7R1A102K020BC</t>
  </si>
  <si>
    <t>Kondensator aus mehreren Keramikschichten MLCC - SMD/SMT 01005 10V 1000pF X7R 10% T: 0.2mm</t>
  </si>
  <si>
    <t>VJ0402D2R2BXCAJ</t>
  </si>
  <si>
    <t>Kondensator aus mehreren Keramikschichten MLCC - SMD/SMT 0402 2.2pF 200V C0G +/-.01pF HIFREQ</t>
  </si>
  <si>
    <t>04026W475MAT2A</t>
  </si>
  <si>
    <t>Kondensator aus mehreren Keramikschichten MLCC - SMD/SMT 6.3V 4.7Uf 0402 20%</t>
  </si>
  <si>
    <t>Kondensator aus mehreren Keramikschichten MLCC - SMD/SMT 0402 15pF 200V C0G 1% HI FREQ</t>
  </si>
  <si>
    <t>VJ0402D150FXCAJ</t>
  </si>
  <si>
    <t>Kondensator aus mehreren Keramikschichten MLCC - SMD/SMT 25 V 0.1uF X5R 0402 10%</t>
  </si>
  <si>
    <t>CC0402KRX5R8BB104</t>
  </si>
  <si>
    <t>Kondensator aus mehreren Keramikschichten MLCC - SMD/SMT 3.2 pF 50 VDC 0.25 pF 0402 C0G (NP0) AEC-Q200</t>
  </si>
  <si>
    <t>GCM1555C1H3R2CA16D</t>
  </si>
  <si>
    <t>0402YU2R4BAT2A</t>
  </si>
  <si>
    <t>Kondensator aus mehreren Keramikschichten MLCC - SMD/SMT 16V 2.4pF C0G 0402 0 .1pF</t>
  </si>
  <si>
    <t>TRJC475K035RRJ</t>
  </si>
  <si>
    <t>Tantalkondensatoren - fest für SMD 4.7uF +/-10% 35V</t>
  </si>
  <si>
    <t>VJ0603Y102MXAAC</t>
  </si>
  <si>
    <t>Kondensator aus mehreren Keramikschichten MLCC - SMD/SMT 1000pF 50volts X7R 20%</t>
  </si>
  <si>
    <t>CC0402JPNPO9BN151</t>
  </si>
  <si>
    <t>Kondensator aus mehreren Keramikschichten MLCC - SMD/SMT 50 V 150pF C0G 0402 5%</t>
  </si>
  <si>
    <t>06035C331M4T2A</t>
  </si>
  <si>
    <t>Kondensator aus mehreren Keramikschichten MLCC - SMD/SMT 50V 330pF X7R 0603 2 0% AEC-Q200</t>
  </si>
  <si>
    <t>VJ1206A331JXAAT</t>
  </si>
  <si>
    <t>Kondensator aus mehreren Keramikschichten MLCC - SMD/SMT 330pF 50volts C0G 5%</t>
  </si>
  <si>
    <t>CC1206KFX5R7BB106</t>
  </si>
  <si>
    <t>Kondensator aus mehreren Keramikschichten MLCC - SMD/SMT 16V 10uF X5R 1206 10% HI CV</t>
  </si>
  <si>
    <t>CC0402KRX7R7BB104</t>
  </si>
  <si>
    <t>Kondensator aus mehreren Keramikschichten MLCC - SMD/SMT 16 V 0.1uF X7R 0402 10%</t>
  </si>
  <si>
    <t>04023A1R0DAT2A</t>
  </si>
  <si>
    <t>Kondensator aus mehreren Keramikschichten MLCC - SMD/SMT 25V 1pF C0G 0402 .5p F Tol</t>
  </si>
  <si>
    <t>AC0402KRX7R9BB272</t>
  </si>
  <si>
    <t>Kondensator aus mehreren Keramikschichten MLCC - SMD/SMT 50V 2700pF X7R 0402 10% AEC-Q200</t>
  </si>
  <si>
    <t>CC0402KRX7R7BB393</t>
  </si>
  <si>
    <t>Kondensator aus mehreren Keramikschichten MLCC - SMD/SMT 16V 0.039uF X7R 0402 10%</t>
  </si>
  <si>
    <t>AC0402KRX7R9BB122</t>
  </si>
  <si>
    <t>Kondensator aus mehreren Keramikschichten MLCC - SMD/SMT 50V 1200pF X7R 0402 10% AEC-Q200</t>
  </si>
  <si>
    <t>VJ0402A121JXAAC</t>
  </si>
  <si>
    <t>Kondensator aus mehreren Keramikschichten MLCC - SMD/SMT VJ0402A121JXAAC00</t>
  </si>
  <si>
    <t>GRM1555CYA103GE01J</t>
  </si>
  <si>
    <t>Kondensator aus mehreren Keramikschichten MLCC - SMD/SMT 0.01 uF 35 VDC 2% 0402 C0G (NP0)</t>
  </si>
  <si>
    <t>PESD5V0L1UL,315</t>
  </si>
  <si>
    <t>ESD-Schutzdioden / TVS-Dioden PESD5V0L1UL/SOD882/SOD2</t>
  </si>
  <si>
    <t>SM0805GC</t>
  </si>
  <si>
    <t>Einfarbige LEDs leds Green 568nm Water Clear</t>
  </si>
  <si>
    <t>LSM0805412V</t>
  </si>
  <si>
    <t>Einfarbige LEDs leds 0805 2V 100mcd Red</t>
  </si>
  <si>
    <t>digikey</t>
  </si>
  <si>
    <t>SKY16602-632LF</t>
  </si>
  <si>
    <t>https://www.digikey.de/de/products/detail/skyworks-solutions-inc/SKY16602-632LF/4959401?s=N4IgTCBcDaIMoGkCaBGAbGgDGAtGgzGADIBiIAugL5A</t>
  </si>
  <si>
    <t>28C0236-0JW-10</t>
  </si>
  <si>
    <t>Ferrite Beads 998ohms 100MHz 5A Thru-hole</t>
  </si>
  <si>
    <t>https://www.mouser.de/en/ProductDetail/Laird/28C0236-0JW-10?qs=wjes1ZhMGKc2BBahb2yqoA%3D%3D</t>
  </si>
  <si>
    <t>BLM18PG121SN1D</t>
  </si>
  <si>
    <t>Ferrite Beads 120 OHM 25% Alternate Sizing Guide Below</t>
  </si>
  <si>
    <t>https://www.mouser.de/en/ProductDetail/Murata-Electronics/BLM18PG121SN1D?qs=tY8e8KZalarVxhnmnUYZ1A%3D%3D</t>
  </si>
  <si>
    <t>2450BP08A0100T</t>
  </si>
  <si>
    <t>Signal Conditioning PLEASE SEE GLOBAL MFG PN: 2450BP08A0100001T</t>
  </si>
  <si>
    <t>SYBP-92+</t>
  </si>
  <si>
    <t>Signal Conditioning Lumped LC Band Pass Filter, 800 - 1000 MHz, 50?</t>
  </si>
  <si>
    <t>LFCN-1800+</t>
  </si>
  <si>
    <t>Signal Conditioning LOW PASS FLTR / SURF MT / RoHS</t>
  </si>
  <si>
    <t>https://www.mouser.de/en/ProductDetail/Mini-Circuits/LFCN-1800%2b?qs=xZ%2FP%252Ba9zWqY1IGtlbrcSGw%3D%3D</t>
  </si>
  <si>
    <t>Power Switch ICs - Power Distribution Load Switch</t>
  </si>
  <si>
    <t>AP22811AW5-7</t>
  </si>
  <si>
    <t>https://www.mouser.de/en/ProductDetail/Diodes-Incorporated/AP22811AW5-7?qs=lqAf%2FiVYw9gUYgIV6BQI1w%3D%3D</t>
  </si>
  <si>
    <t>RMS-30+</t>
  </si>
  <si>
    <t>RF Mixer Level 7, SMT Double Balanced Mixer, RF/LO Freq 200 - 3000 MHz</t>
  </si>
  <si>
    <t>SE2576L-R</t>
  </si>
  <si>
    <t>RF Amplifier 2.4GHz P1dB 32dBm 5.0Volt 802.11bgn</t>
  </si>
  <si>
    <t>https://www.mouser.de/en/ProductDetail/Skyworks-Solutions-Inc/SE2576L-R?qs=WMHGlxXAKT%252BgTam3WBvNxQ%3D%3D</t>
  </si>
  <si>
    <t>HMC374SC70E</t>
  </si>
  <si>
    <t>RF Amplifier lo Noise amp</t>
  </si>
  <si>
    <t>PGA-103+</t>
  </si>
  <si>
    <t>RF Amplifier ML AMPL / SURF MT / 4GHZ RoHS</t>
  </si>
  <si>
    <t>https://www.mouser.de/en/ProductDetail/Mini-Circuits/PGA-103%2b?qs=xZ%2FP%252Ba9zWqZWniifnGTm5A%3D%3D</t>
  </si>
  <si>
    <t>PSA4-5043+</t>
  </si>
  <si>
    <t>RF Amplifier ML AMPL / SURF MOUNT / RoHS</t>
  </si>
  <si>
    <t>https://www.mouser.de/en/ProductDetail/Mini-Circuits/PSA4-5043%2b?qs=xZ%2FP%252Ba9zWqbLkryIxS%2FdVA%3D%3D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</si>
</sst>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Arial"/>
      <family val="2"/>
    </font>
    <font>
      <sz val="7"/>
      <color rgb="FF333333"/>
      <name val="Arial"/>
      <family val="2"/>
    </font>
    <font>
      <i/>
      <sz val="8"/>
      <color rgb="FF8CAAEE"/>
      <name val="Consolas"/>
      <family val="3"/>
    </font>
    <font>
      <b/>
      <sz val="24"/>
      <color rgb="FF333333"/>
      <name val="Arial"/>
      <family val="2"/>
    </font>
    <font>
      <sz val="10"/>
      <color rgb="FF333333"/>
      <name val="Arial"/>
      <family val="2"/>
    </font>
    <font>
      <sz val="10"/>
      <color rgb="FF333333"/>
      <name val="Arial"/>
      <family val="2"/>
    </font>
    <font>
      <b/>
      <sz val="8"/>
      <color rgb="FFE78284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4">
    <xf numFmtId="0" fontId="0" fillId="0" borderId="0"/>
    <xf numFmtId="0" fontId="11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1" fillId="0" borderId="0"/>
  </cellStyleXfs>
  <cellXfs count="45">
    <xf numFmtId="0" fontId="0" fillId="0" borderId="0" xfId="0"/>
    <xf numFmtId="0" fontId="3" fillId="0" borderId="0" xfId="0" applyFont="1"/>
    <xf numFmtId="0" fontId="6" fillId="0" borderId="0" xfId="0" applyFont="1"/>
    <xf numFmtId="0" fontId="11" fillId="0" borderId="0" xfId="1"/>
    <xf numFmtId="0" fontId="7" fillId="0" borderId="0" xfId="0" applyFont="1"/>
    <xf numFmtId="0" fontId="8" fillId="0" borderId="0" xfId="0" applyFont="1"/>
    <xf numFmtId="0" fontId="12" fillId="0" borderId="2" xfId="0" applyFont="1" applyBorder="1" applyAlignment="1">
      <alignment horizontal="center" vertical="top" wrapText="1"/>
    </xf>
    <xf numFmtId="0" fontId="0" fillId="0" borderId="0" xfId="0" applyAlignment="1">
      <alignment textRotation="90"/>
    </xf>
    <xf numFmtId="0" fontId="5" fillId="0" borderId="0" xfId="0" applyFont="1" applyAlignment="1">
      <alignment textRotation="90"/>
    </xf>
    <xf numFmtId="0" fontId="9" fillId="0" borderId="0" xfId="0" applyFont="1"/>
    <xf numFmtId="0" fontId="14" fillId="0" borderId="0" xfId="0" applyFont="1"/>
    <xf numFmtId="0" fontId="0" fillId="0" borderId="0" xfId="0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3" fillId="5" borderId="1" xfId="0" applyFont="1" applyFill="1" applyBorder="1" applyAlignment="1" applyProtection="1">
      <alignment horizontal="center"/>
      <protection locked="0"/>
    </xf>
    <xf numFmtId="0" fontId="13" fillId="5" borderId="1" xfId="0" applyFont="1" applyFill="1" applyBorder="1" applyAlignment="1" applyProtection="1">
      <alignment horizontal="center" vertical="center" wrapText="1"/>
      <protection locked="0"/>
    </xf>
    <xf numFmtId="0" fontId="0" fillId="5" borderId="3" xfId="0" applyFill="1" applyBorder="1" applyProtection="1">
      <protection locked="0"/>
    </xf>
    <xf numFmtId="0" fontId="0" fillId="5" borderId="1" xfId="0" applyFill="1" applyBorder="1" applyProtection="1">
      <protection locked="0"/>
    </xf>
    <xf numFmtId="44" fontId="13" fillId="5" borderId="1" xfId="2" applyFont="1" applyFill="1" applyBorder="1" applyAlignment="1" applyProtection="1">
      <alignment horizontal="center"/>
      <protection locked="0"/>
    </xf>
    <xf numFmtId="44" fontId="0" fillId="5" borderId="1" xfId="2" applyFont="1" applyFill="1" applyBorder="1" applyProtection="1">
      <protection locked="0"/>
    </xf>
    <xf numFmtId="0" fontId="5" fillId="0" borderId="4" xfId="0" applyFont="1" applyBorder="1"/>
    <xf numFmtId="44" fontId="0" fillId="0" borderId="5" xfId="2" applyFont="1" applyBorder="1"/>
    <xf numFmtId="0" fontId="5" fillId="0" borderId="6" xfId="0" applyFont="1" applyBorder="1"/>
    <xf numFmtId="44" fontId="0" fillId="0" borderId="7" xfId="2" applyFont="1" applyBorder="1"/>
    <xf numFmtId="0" fontId="5" fillId="0" borderId="8" xfId="0" applyFont="1" applyBorder="1"/>
    <xf numFmtId="44" fontId="0" fillId="0" borderId="9" xfId="2" applyFont="1" applyBorder="1"/>
    <xf numFmtId="0" fontId="12" fillId="0" borderId="10" xfId="0" applyFont="1" applyBorder="1" applyAlignment="1">
      <alignment horizontal="center" vertical="top" wrapText="1"/>
    </xf>
    <xf numFmtId="44" fontId="13" fillId="0" borderId="11" xfId="2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0" borderId="12" xfId="0" applyBorder="1"/>
    <xf numFmtId="0" fontId="12" fillId="0" borderId="13" xfId="0" applyFont="1" applyBorder="1" applyAlignment="1">
      <alignment horizontal="center" vertical="top" wrapText="1"/>
    </xf>
    <xf numFmtId="0" fontId="1" fillId="0" borderId="0" xfId="3"/>
    <xf numFmtId="0" fontId="5" fillId="4" borderId="1" xfId="0" applyFont="1" applyFill="1" applyBorder="1" applyProtection="1">
      <protection locked="0"/>
    </xf>
    <xf numFmtId="0" fontId="15" fillId="0" borderId="0" xfId="0" applyFont="1"/>
    <xf numFmtId="8" fontId="15" fillId="0" borderId="0" xfId="0" applyNumberFormat="1" applyFont="1"/>
    <xf numFmtId="0" fontId="0" fillId="5" borderId="14" xfId="0" applyFill="1" applyBorder="1" applyProtection="1">
      <protection locked="0"/>
    </xf>
    <xf numFmtId="0" fontId="5" fillId="0" borderId="0" xfId="0" applyFont="1"/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 wrapText="1"/>
    </xf>
    <xf numFmtId="0" fontId="18" fillId="0" borderId="0" xfId="0" applyFont="1"/>
    <xf numFmtId="8" fontId="19" fillId="0" borderId="0" xfId="0" applyNumberFormat="1" applyFont="1"/>
    <xf numFmtId="0" fontId="20" fillId="0" borderId="0" xfId="0" applyFont="1" applyAlignment="1">
      <alignment vertical="center"/>
    </xf>
    <xf numFmtId="0" fontId="15" fillId="6" borderId="15" xfId="0" applyFont="1" applyFill="1" applyBorder="1" applyAlignment="1">
      <alignment vertical="top" wrapText="1"/>
    </xf>
    <xf numFmtId="8" fontId="19" fillId="6" borderId="15" xfId="0" applyNumberFormat="1" applyFont="1" applyFill="1" applyBorder="1" applyAlignment="1">
      <alignment horizontal="right" vertical="top" wrapText="1" indent="1"/>
    </xf>
    <xf numFmtId="0" fontId="19" fillId="6" borderId="15" xfId="0" applyFont="1" applyFill="1" applyBorder="1" applyAlignment="1">
      <alignment horizontal="right" vertical="top" indent="1"/>
    </xf>
  </cellXfs>
  <cellStyles count="4">
    <cellStyle name="Currency" xfId="2" builtinId="4"/>
    <cellStyle name="Hyperlink" xfId="1" builtinId="8"/>
    <cellStyle name="Normal" xfId="0" builtinId="0"/>
    <cellStyle name="Normal 2" xfId="3" xr:uid="{4E79873A-36B8-41BF-9250-AAC359CF50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user.de/de/ProductDetail/Vishay-Vitramon/VJ0402D150FXCAJ?qs=sGAEpiMZZMsh%252B1woXyUXj2z2wRXEsjcwemUAQOVhQ3A%3D" TargetMode="External"/><Relationship Id="rId18" Type="http://schemas.openxmlformats.org/officeDocument/2006/relationships/hyperlink" Target="https://www.mouser.de/de/ProductDetail/Vishay-Vitramon/VJ0603Y102MXAAC?qs=tKBoUWxeOJbblqoMJ9HNGg%3D%3D" TargetMode="External"/><Relationship Id="rId26" Type="http://schemas.openxmlformats.org/officeDocument/2006/relationships/hyperlink" Target="https://www.mouser.de/de/ProductDetail/YAGEO/CC0402KRX7R7BB393?qs=5q%252BqlK8CmJSJTmxHu%252BIslQ%3D%3D" TargetMode="External"/><Relationship Id="rId3" Type="http://schemas.openxmlformats.org/officeDocument/2006/relationships/hyperlink" Target="mailto:muenchen%40mouser.com" TargetMode="External"/><Relationship Id="rId21" Type="http://schemas.openxmlformats.org/officeDocument/2006/relationships/hyperlink" Target="https://www.mouser.de/de/ProductDetail/Vishay-Vitramon/VJ1206A331JXAAT?qs=2M%252BU6H05pn89jvT56Cs8tw%3D%3D" TargetMode="External"/><Relationship Id="rId34" Type="http://schemas.openxmlformats.org/officeDocument/2006/relationships/hyperlink" Target="https://www.mouser.de/en/ProductDetail/Mini-Circuits/RMS-30%2b?qs=Znm5pLBrcAIBkcPltAJrPg%3D%3D" TargetMode="External"/><Relationship Id="rId7" Type="http://schemas.openxmlformats.org/officeDocument/2006/relationships/hyperlink" Target="https://www.mouser.de/de/ProductDetail/KYOCERA-AVX/TPSF157K010R0200?qs=%2FAyNC%2FU1o91Nx%252BUpVCohjg%3D%3D" TargetMode="External"/><Relationship Id="rId12" Type="http://schemas.openxmlformats.org/officeDocument/2006/relationships/hyperlink" Target="https://www.mouser.de/de/ProductDetail/KYOCERA-AVX/04026W475MAT2A?qs=sGAEpiMZZMsh%252B1woXyUXjzY5digEXfcQJ8tiWZZJOtY%3D" TargetMode="External"/><Relationship Id="rId17" Type="http://schemas.openxmlformats.org/officeDocument/2006/relationships/hyperlink" Target="https://www.mouser.de/de/ProductDetail/KYOCERA-AVX/TRJC475K035RRJ?qs=utR%252BHFm0FzLRVcCCl%252BXb7w%3D%3D" TargetMode="External"/><Relationship Id="rId25" Type="http://schemas.openxmlformats.org/officeDocument/2006/relationships/hyperlink" Target="https://www.mouser.de/de/ProductDetail/YAGEO/AC0402KRX7R9BB272?qs=iHX4uCgIbgNWchYmcffrcg%3D%3D" TargetMode="External"/><Relationship Id="rId33" Type="http://schemas.openxmlformats.org/officeDocument/2006/relationships/hyperlink" Target="https://www.mouser.de/en/ProductDetail/Johanson-Technology/2450BP08A0100T?qs=YCa%2FAAYMW02eslDA1%2Fi8Rw%3D%3D" TargetMode="External"/><Relationship Id="rId2" Type="http://schemas.openxmlformats.org/officeDocument/2006/relationships/hyperlink" Target="https://www.mouser.de/contact/" TargetMode="External"/><Relationship Id="rId16" Type="http://schemas.openxmlformats.org/officeDocument/2006/relationships/hyperlink" Target="https://www.mouser.de/de/ProductDetail/KYOCERA-AVX/0402YU2R4BAT2A?qs=ZwvTZoB9SO%2F9xc3E5Q%252BCrg%3D%3D" TargetMode="External"/><Relationship Id="rId20" Type="http://schemas.openxmlformats.org/officeDocument/2006/relationships/hyperlink" Target="https://www.mouser.de/de/ProductDetail/KYOCERA-AVX/06035C331M4T2A?qs=ZBeOGGPQgEHm0YWrnTdMuA%3D%3D" TargetMode="External"/><Relationship Id="rId29" Type="http://schemas.openxmlformats.org/officeDocument/2006/relationships/hyperlink" Target="https://www.mouser.de/de/ProductDetail/Murata-Electronics/GRM1555CYA103GE01J?qs=d0WKAl%252BL4KbA7gCogz12ew%3D%3D" TargetMode="External"/><Relationship Id="rId1" Type="http://schemas.openxmlformats.org/officeDocument/2006/relationships/hyperlink" Target="https://www.mouser.de/contact/" TargetMode="External"/><Relationship Id="rId6" Type="http://schemas.openxmlformats.org/officeDocument/2006/relationships/hyperlink" Target="https://www.mouser.de/de/ProductDetail/YAGEO/CC0603KRX7R9BB104?qs=vTakOoo5QyLvVCYM2ge8LQ%3D%3D" TargetMode="External"/><Relationship Id="rId11" Type="http://schemas.openxmlformats.org/officeDocument/2006/relationships/hyperlink" Target="https://www.mouser.de/de/ProductDetail/Vishay-Vitramon/VJ0402D2R2BXCAJ?qs=sGAEpiMZZMsh%252B1woXyUXj2z2wRXEsjcw0y7O4esQ7qA%3D" TargetMode="External"/><Relationship Id="rId24" Type="http://schemas.openxmlformats.org/officeDocument/2006/relationships/hyperlink" Target="https://www.mouser.de/de/ProductDetail/KYOCERA-AVX/04023A1R0DAT2A?qs=FkeSXReRH1vgN2x1fywzxw%3D%3D" TargetMode="External"/><Relationship Id="rId32" Type="http://schemas.openxmlformats.org/officeDocument/2006/relationships/hyperlink" Target="https://www.mouser.de/de/ProductDetail/VCC/LSM0805412V?qs=T3oQrply3y%2F3hzU4lskNyg%3D%3D" TargetMode="External"/><Relationship Id="rId5" Type="http://schemas.openxmlformats.org/officeDocument/2006/relationships/hyperlink" Target="https://www.mouser.de/de/ProductDetail/YAGEO/CC0603MRX7R5BB475?qs=sGAEpiMZZMsh%252B1woXyUXj90%252Bz9elmv428DyDbLPeRqs%3D" TargetMode="External"/><Relationship Id="rId15" Type="http://schemas.openxmlformats.org/officeDocument/2006/relationships/hyperlink" Target="https://www.mouser.de/de/ProductDetail/Murata-Electronics/GCM1555C1H3R2CA16D?qs=b6dFT0v%2Fxb9um9LTQ3aBBQ%3D%3D" TargetMode="External"/><Relationship Id="rId23" Type="http://schemas.openxmlformats.org/officeDocument/2006/relationships/hyperlink" Target="https://www.mouser.de/de/ProductDetail/YAGEO/CC0402KRX7R7BB104?qs=AgBp2OyFlx%252BSOyhfyS7hpw%3D%3D" TargetMode="External"/><Relationship Id="rId28" Type="http://schemas.openxmlformats.org/officeDocument/2006/relationships/hyperlink" Target="https://www.mouser.de/de/ProductDetail/Vishay-Sprague/VJ0402A121JXAAC?qs=3Pj1lnMdkfqiKcr%252BAQDyOQ%3D%3D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www.mouser.de/de/ProductDetail/TDK/C0402X7R1A102K020BC?qs=Zt%252BKPUOg4oeVeDoDR%252BkQnw%3D%3D" TargetMode="External"/><Relationship Id="rId19" Type="http://schemas.openxmlformats.org/officeDocument/2006/relationships/hyperlink" Target="https://www.mouser.de/de/ProductDetail/YAGEO/CC0402JPNPO9BN151?qs=tS%2FAHvPQ%2F54Y2RC7yI%252Bzfg%3D%3D" TargetMode="External"/><Relationship Id="rId31" Type="http://schemas.openxmlformats.org/officeDocument/2006/relationships/hyperlink" Target="https://www.mouser.de/de/ProductDetail/Bivar/SM0805GC?qs=umy9uXsUyyaRZQCOkrRsOQ%3D%3D" TargetMode="External"/><Relationship Id="rId4" Type="http://schemas.openxmlformats.org/officeDocument/2006/relationships/hyperlink" Target="https://www.mouser.de/de/ProductDetail/YAGEO/CC0603KRX7R9BB104?qs=sGAEpiMZZMukHu%252BjC5l7YUrFUWXVLUy60Yaemy%252Bs3II%3D" TargetMode="External"/><Relationship Id="rId9" Type="http://schemas.openxmlformats.org/officeDocument/2006/relationships/hyperlink" Target="https://www.mouser.de/de/ProductDetail/KYOCERA-AVX/CM03X5R105M06AH?qs=rkhjVJ6%2F3ELzWF91DLscGA%3D%3D" TargetMode="External"/><Relationship Id="rId14" Type="http://schemas.openxmlformats.org/officeDocument/2006/relationships/hyperlink" Target="https://www.mouser.de/de/ProductDetail/YAGEO/CC0402KRX5R8BB104?qs=KosDah%252BIqW%252Br%2Fi6bZws5wg%3D%3D" TargetMode="External"/><Relationship Id="rId22" Type="http://schemas.openxmlformats.org/officeDocument/2006/relationships/hyperlink" Target="https://www.mouser.de/de/ProductDetail/YAGEO/CC1206KFX5R7BB106?qs=mzRxyRlhVdtbHnIGelyb5g%3D%3D" TargetMode="External"/><Relationship Id="rId27" Type="http://schemas.openxmlformats.org/officeDocument/2006/relationships/hyperlink" Target="https://www.mouser.de/de/ProductDetail/YAGEO/AC0402KRX7R9BB122?qs=W0yvOO0ixfHbVYdJnLy%252BqQ%3D%3D" TargetMode="External"/><Relationship Id="rId30" Type="http://schemas.openxmlformats.org/officeDocument/2006/relationships/hyperlink" Target="https://www.mouser.de/de/ProductDetail/Nexperia/PESD5V0L1UL315?qs=LMSg3oBIm%2FhjH0Hnn3JlzQ%3D%3D" TargetMode="External"/><Relationship Id="rId35" Type="http://schemas.openxmlformats.org/officeDocument/2006/relationships/hyperlink" Target="https://www.mouser.de/en/ProductDetail/Analog-Devices/HMC374SC70E?qs=pceeu5JH%2FH8aAWz5sXQxvw%3D%3D" TargetMode="External"/><Relationship Id="rId8" Type="http://schemas.openxmlformats.org/officeDocument/2006/relationships/hyperlink" Target="https://www.mouser.de/de/ProductDetail/KEMET/C0402T101J5GACTU?qs=u4fy%2FsgLU9PLUPqqcVgCT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F103"/>
  <sheetViews>
    <sheetView tabSelected="1" topLeftCell="A46" workbookViewId="0">
      <selection activeCell="F64" sqref="F64"/>
    </sheetView>
  </sheetViews>
  <sheetFormatPr defaultColWidth="11.5546875" defaultRowHeight="13.2" x14ac:dyDescent="0.25"/>
  <cols>
    <col min="1" max="1" width="11.5546875" customWidth="1"/>
    <col min="2" max="2" width="25.33203125" customWidth="1"/>
    <col min="3" max="3" width="106.33203125" customWidth="1"/>
    <col min="4" max="4" width="18" customWidth="1"/>
    <col min="5" max="5" width="16.5546875" customWidth="1"/>
    <col min="6" max="6" width="26.33203125" customWidth="1"/>
  </cols>
  <sheetData>
    <row r="1" spans="1:5" ht="4.5" customHeight="1" x14ac:dyDescent="0.25">
      <c r="C1" s="11"/>
    </row>
    <row r="2" spans="1:5" ht="21" x14ac:dyDescent="0.4">
      <c r="A2" s="5" t="s">
        <v>11</v>
      </c>
      <c r="C2" s="11"/>
    </row>
    <row r="3" spans="1:5" ht="15.6" x14ac:dyDescent="0.3">
      <c r="A3" s="1" t="s">
        <v>22</v>
      </c>
      <c r="B3" s="4"/>
      <c r="C3" s="31" t="s">
        <v>25</v>
      </c>
    </row>
    <row r="4" spans="1:5" ht="15.6" x14ac:dyDescent="0.3">
      <c r="A4" s="1" t="s">
        <v>23</v>
      </c>
      <c r="C4" s="3" t="s">
        <v>26</v>
      </c>
    </row>
    <row r="5" spans="1:5" ht="15.6" x14ac:dyDescent="0.3">
      <c r="A5" s="1" t="s">
        <v>3</v>
      </c>
      <c r="B5" s="3"/>
      <c r="C5" s="3" t="s">
        <v>27</v>
      </c>
    </row>
    <row r="6" spans="1:5" ht="15.6" x14ac:dyDescent="0.3">
      <c r="A6" s="1" t="s">
        <v>24</v>
      </c>
      <c r="B6" s="3"/>
      <c r="C6" s="3" t="s">
        <v>28</v>
      </c>
    </row>
    <row r="7" spans="1:5" ht="15.6" x14ac:dyDescent="0.3">
      <c r="A7" s="1"/>
      <c r="C7" s="11"/>
      <c r="E7" s="7"/>
    </row>
    <row r="8" spans="1:5" ht="15.6" x14ac:dyDescent="0.3">
      <c r="A8" s="1" t="s">
        <v>14</v>
      </c>
      <c r="C8" s="3" t="s">
        <v>29</v>
      </c>
      <c r="E8" s="7"/>
    </row>
    <row r="9" spans="1:5" ht="21" x14ac:dyDescent="0.4">
      <c r="A9" s="1" t="s">
        <v>6</v>
      </c>
      <c r="B9" s="5"/>
      <c r="C9" s="12"/>
      <c r="E9" s="7"/>
    </row>
    <row r="10" spans="1:5" ht="21" x14ac:dyDescent="0.4">
      <c r="A10" s="1"/>
      <c r="B10" s="5"/>
      <c r="C10" s="11"/>
      <c r="D10" s="9"/>
      <c r="E10" s="7"/>
    </row>
    <row r="11" spans="1:5" ht="21" x14ac:dyDescent="0.4">
      <c r="A11" s="10" t="s">
        <v>13</v>
      </c>
      <c r="B11" s="5"/>
      <c r="C11" s="11"/>
      <c r="D11" s="9"/>
      <c r="E11" s="7"/>
    </row>
    <row r="12" spans="1:5" ht="15.6" x14ac:dyDescent="0.3">
      <c r="A12" s="1" t="s">
        <v>8</v>
      </c>
      <c r="C12" s="13"/>
      <c r="E12" s="8"/>
    </row>
    <row r="13" spans="1:5" ht="15.6" x14ac:dyDescent="0.3">
      <c r="A13" s="1" t="s">
        <v>9</v>
      </c>
      <c r="B13" s="2"/>
      <c r="C13" s="13"/>
      <c r="E13" s="7"/>
    </row>
    <row r="14" spans="1:5" ht="15.6" x14ac:dyDescent="0.3">
      <c r="A14" s="1" t="s">
        <v>15</v>
      </c>
      <c r="C14" s="13"/>
      <c r="E14" s="7"/>
    </row>
    <row r="15" spans="1:5" ht="15.6" x14ac:dyDescent="0.3">
      <c r="A15" s="1"/>
      <c r="C15" s="11"/>
      <c r="E15" s="7"/>
    </row>
    <row r="16" spans="1:5" ht="17.399999999999999" x14ac:dyDescent="0.3">
      <c r="A16" s="10" t="s">
        <v>12</v>
      </c>
      <c r="C16" s="11"/>
      <c r="E16" s="8"/>
    </row>
    <row r="17" spans="1:6" ht="15.6" x14ac:dyDescent="0.3">
      <c r="A17" s="1" t="s">
        <v>4</v>
      </c>
      <c r="C17" s="32" t="s">
        <v>30</v>
      </c>
      <c r="E17" s="7"/>
    </row>
    <row r="18" spans="1:6" ht="15.6" x14ac:dyDescent="0.3">
      <c r="A18" s="1" t="s">
        <v>16</v>
      </c>
      <c r="C18" s="32" t="s">
        <v>32</v>
      </c>
      <c r="D18" s="9"/>
      <c r="E18" s="7"/>
    </row>
    <row r="19" spans="1:6" ht="15.6" x14ac:dyDescent="0.3">
      <c r="A19" s="1" t="s">
        <v>20</v>
      </c>
      <c r="C19" s="32" t="s">
        <v>31</v>
      </c>
      <c r="D19" s="9"/>
      <c r="E19" s="7"/>
    </row>
    <row r="20" spans="1:6" ht="15.6" x14ac:dyDescent="0.3">
      <c r="A20" s="1"/>
      <c r="C20" s="11"/>
      <c r="D20" s="9"/>
      <c r="E20" s="7"/>
    </row>
    <row r="21" spans="1:6" ht="13.8" thickBot="1" x14ac:dyDescent="0.3">
      <c r="D21" s="9" t="s">
        <v>10</v>
      </c>
      <c r="E21" s="7"/>
    </row>
    <row r="22" spans="1:6" ht="14.4" x14ac:dyDescent="0.25">
      <c r="A22" s="6" t="s">
        <v>7</v>
      </c>
      <c r="B22" s="6" t="s">
        <v>0</v>
      </c>
      <c r="C22" s="6" t="s">
        <v>1</v>
      </c>
      <c r="D22" s="6" t="s">
        <v>5</v>
      </c>
      <c r="E22" s="26" t="s">
        <v>2</v>
      </c>
      <c r="F22" s="30" t="s">
        <v>21</v>
      </c>
    </row>
    <row r="23" spans="1:6" ht="14.4" x14ac:dyDescent="0.3">
      <c r="A23" s="14">
        <v>1</v>
      </c>
      <c r="B23" s="3" t="s">
        <v>35</v>
      </c>
      <c r="C23" s="33" t="s">
        <v>36</v>
      </c>
      <c r="D23" s="34">
        <v>0.20599999999999999</v>
      </c>
      <c r="E23" s="27">
        <f t="shared" ref="E23:E86" si="0">A23*D23</f>
        <v>0.20599999999999999</v>
      </c>
      <c r="F23" s="28"/>
    </row>
    <row r="24" spans="1:6" ht="14.4" x14ac:dyDescent="0.3">
      <c r="A24" s="14">
        <f>4+1</f>
        <v>5</v>
      </c>
      <c r="B24" s="3" t="s">
        <v>37</v>
      </c>
      <c r="C24" s="33" t="s">
        <v>38</v>
      </c>
      <c r="D24" s="34">
        <v>0.46400000000000002</v>
      </c>
      <c r="E24" s="27">
        <f t="shared" si="0"/>
        <v>2.3200000000000003</v>
      </c>
      <c r="F24" s="28"/>
    </row>
    <row r="25" spans="1:6" ht="14.4" x14ac:dyDescent="0.3">
      <c r="A25" s="14">
        <v>1</v>
      </c>
      <c r="B25" s="3" t="s">
        <v>33</v>
      </c>
      <c r="C25" s="33" t="s">
        <v>34</v>
      </c>
      <c r="D25" s="34">
        <v>8.5999999999999993E-2</v>
      </c>
      <c r="E25" s="27">
        <f t="shared" ref="E25:E32" si="1">A25*D25</f>
        <v>8.5999999999999993E-2</v>
      </c>
      <c r="F25" s="28"/>
    </row>
    <row r="26" spans="1:6" ht="14.4" x14ac:dyDescent="0.3">
      <c r="A26" s="14">
        <v>1</v>
      </c>
      <c r="B26" s="3" t="s">
        <v>39</v>
      </c>
      <c r="C26" s="33" t="s">
        <v>40</v>
      </c>
      <c r="D26" s="34">
        <v>2.82</v>
      </c>
      <c r="E26" s="27">
        <f t="shared" ref="E26" si="2">A26*D26</f>
        <v>2.82</v>
      </c>
      <c r="F26" s="28"/>
    </row>
    <row r="27" spans="1:6" ht="14.4" x14ac:dyDescent="0.3">
      <c r="A27" s="14">
        <v>13</v>
      </c>
      <c r="B27" s="14"/>
      <c r="C27" s="15"/>
      <c r="D27" s="18"/>
      <c r="E27" s="27">
        <f t="shared" si="1"/>
        <v>0</v>
      </c>
      <c r="F27" s="28"/>
    </row>
    <row r="28" spans="1:6" ht="14.4" x14ac:dyDescent="0.3">
      <c r="A28" s="14">
        <v>9</v>
      </c>
      <c r="B28" s="3" t="s">
        <v>41</v>
      </c>
      <c r="C28" s="33" t="s">
        <v>42</v>
      </c>
      <c r="D28" s="34">
        <v>0.78300000000000003</v>
      </c>
      <c r="E28" s="27">
        <f t="shared" si="1"/>
        <v>7.0470000000000006</v>
      </c>
      <c r="F28" s="28"/>
    </row>
    <row r="29" spans="1:6" ht="14.4" x14ac:dyDescent="0.3">
      <c r="A29" s="14">
        <v>1</v>
      </c>
      <c r="B29" s="3" t="s">
        <v>44</v>
      </c>
      <c r="C29" s="33" t="s">
        <v>43</v>
      </c>
      <c r="D29" s="34">
        <v>9.5000000000000001E-2</v>
      </c>
      <c r="E29" s="27">
        <f t="shared" si="1"/>
        <v>9.5000000000000001E-2</v>
      </c>
      <c r="F29" s="28"/>
    </row>
    <row r="30" spans="1:6" ht="14.4" x14ac:dyDescent="0.3">
      <c r="A30" s="14">
        <v>3</v>
      </c>
      <c r="B30" s="3" t="s">
        <v>45</v>
      </c>
      <c r="C30" s="33" t="s">
        <v>46</v>
      </c>
      <c r="D30" s="34">
        <v>0.129</v>
      </c>
      <c r="E30" s="27">
        <f t="shared" si="1"/>
        <v>0.38700000000000001</v>
      </c>
      <c r="F30" s="28"/>
    </row>
    <row r="31" spans="1:6" ht="14.4" x14ac:dyDescent="0.3">
      <c r="A31" s="14">
        <v>1</v>
      </c>
      <c r="B31" s="3" t="s">
        <v>47</v>
      </c>
      <c r="C31" s="33" t="s">
        <v>48</v>
      </c>
      <c r="D31" s="34">
        <v>0.57599999999999996</v>
      </c>
      <c r="E31" s="27">
        <f t="shared" si="1"/>
        <v>0.57599999999999996</v>
      </c>
      <c r="F31" s="28"/>
    </row>
    <row r="32" spans="1:6" ht="14.4" x14ac:dyDescent="0.3">
      <c r="A32" s="14">
        <v>1</v>
      </c>
      <c r="B32" s="3" t="s">
        <v>49</v>
      </c>
      <c r="C32" s="33" t="s">
        <v>50</v>
      </c>
      <c r="D32" s="34">
        <v>0.33500000000000002</v>
      </c>
      <c r="E32" s="27">
        <f t="shared" si="1"/>
        <v>0.33500000000000002</v>
      </c>
      <c r="F32" s="28"/>
    </row>
    <row r="33" spans="1:6" ht="14.4" x14ac:dyDescent="0.3">
      <c r="A33" s="14">
        <v>2</v>
      </c>
      <c r="B33" s="3" t="s">
        <v>52</v>
      </c>
      <c r="C33" s="33" t="s">
        <v>51</v>
      </c>
      <c r="D33" s="34">
        <v>0.55900000000000005</v>
      </c>
      <c r="E33" s="27">
        <f t="shared" ref="E33:E35" si="3">A33*D33</f>
        <v>1.1180000000000001</v>
      </c>
      <c r="F33" s="28"/>
    </row>
    <row r="34" spans="1:6" ht="14.4" x14ac:dyDescent="0.3">
      <c r="A34" s="14">
        <v>1</v>
      </c>
      <c r="B34" s="3" t="s">
        <v>54</v>
      </c>
      <c r="C34" s="33" t="s">
        <v>53</v>
      </c>
      <c r="D34" s="34">
        <v>8.5999999999999993E-2</v>
      </c>
      <c r="E34" s="27">
        <f t="shared" si="3"/>
        <v>8.5999999999999993E-2</v>
      </c>
      <c r="F34" s="28"/>
    </row>
    <row r="35" spans="1:6" ht="14.4" x14ac:dyDescent="0.3">
      <c r="A35" s="14">
        <v>1</v>
      </c>
      <c r="B35" s="3" t="s">
        <v>56</v>
      </c>
      <c r="C35" s="33" t="s">
        <v>55</v>
      </c>
      <c r="D35" s="34">
        <v>0.129</v>
      </c>
      <c r="E35" s="27">
        <f t="shared" si="3"/>
        <v>0.129</v>
      </c>
      <c r="F35" s="28"/>
    </row>
    <row r="36" spans="1:6" ht="14.4" x14ac:dyDescent="0.3">
      <c r="A36" s="14">
        <v>2</v>
      </c>
      <c r="B36" s="3" t="s">
        <v>57</v>
      </c>
      <c r="C36" s="33" t="s">
        <v>58</v>
      </c>
      <c r="D36" s="34">
        <v>0.12</v>
      </c>
      <c r="E36" s="27">
        <f t="shared" ref="E36:E41" si="4">A36*D36</f>
        <v>0.24</v>
      </c>
      <c r="F36" s="28"/>
    </row>
    <row r="37" spans="1:6" ht="14.4" x14ac:dyDescent="0.3">
      <c r="A37" s="14">
        <v>1</v>
      </c>
      <c r="B37" s="3" t="s">
        <v>59</v>
      </c>
      <c r="C37" s="33" t="s">
        <v>60</v>
      </c>
      <c r="D37" s="34">
        <v>0.90300000000000002</v>
      </c>
      <c r="E37" s="27">
        <f t="shared" si="4"/>
        <v>0.90300000000000002</v>
      </c>
      <c r="F37" s="28"/>
    </row>
    <row r="38" spans="1:6" ht="14.4" x14ac:dyDescent="0.3">
      <c r="A38" s="14">
        <v>1</v>
      </c>
      <c r="B38" s="3" t="s">
        <v>61</v>
      </c>
      <c r="C38" s="33" t="s">
        <v>62</v>
      </c>
      <c r="D38" s="34">
        <v>0.17199999999999999</v>
      </c>
      <c r="E38" s="27">
        <f t="shared" si="4"/>
        <v>0.17199999999999999</v>
      </c>
      <c r="F38" s="28"/>
    </row>
    <row r="39" spans="1:6" ht="14.4" x14ac:dyDescent="0.3">
      <c r="A39" s="14">
        <v>3</v>
      </c>
      <c r="B39" s="3" t="s">
        <v>63</v>
      </c>
      <c r="C39" s="33" t="s">
        <v>64</v>
      </c>
      <c r="D39" s="34">
        <v>8.5999999999999993E-2</v>
      </c>
      <c r="E39" s="27">
        <f t="shared" ref="E39" si="5">A39*D39</f>
        <v>0.25800000000000001</v>
      </c>
      <c r="F39" s="28"/>
    </row>
    <row r="40" spans="1:6" ht="14.4" x14ac:dyDescent="0.3">
      <c r="A40" s="14">
        <v>1</v>
      </c>
      <c r="B40" s="3" t="s">
        <v>65</v>
      </c>
      <c r="C40" s="33" t="s">
        <v>66</v>
      </c>
      <c r="D40" s="34">
        <v>0.20599999999999999</v>
      </c>
      <c r="E40" s="27">
        <f t="shared" si="4"/>
        <v>0.20599999999999999</v>
      </c>
      <c r="F40" s="28"/>
    </row>
    <row r="41" spans="1:6" ht="14.4" x14ac:dyDescent="0.3">
      <c r="A41" s="14">
        <v>1</v>
      </c>
      <c r="B41" s="3" t="s">
        <v>67</v>
      </c>
      <c r="C41" s="33" t="s">
        <v>68</v>
      </c>
      <c r="D41" s="34">
        <v>0.318</v>
      </c>
      <c r="E41" s="27">
        <f t="shared" si="4"/>
        <v>0.318</v>
      </c>
      <c r="F41" s="28"/>
    </row>
    <row r="42" spans="1:6" ht="14.4" x14ac:dyDescent="0.3">
      <c r="A42" s="14">
        <v>1</v>
      </c>
      <c r="B42" s="3" t="s">
        <v>69</v>
      </c>
      <c r="C42" s="33" t="s">
        <v>70</v>
      </c>
      <c r="D42" s="34">
        <v>0.40400000000000003</v>
      </c>
      <c r="E42" s="27">
        <f t="shared" ref="E42:E44" si="6">A42*D42</f>
        <v>0.40400000000000003</v>
      </c>
      <c r="F42" s="28"/>
    </row>
    <row r="43" spans="1:6" ht="14.4" x14ac:dyDescent="0.3">
      <c r="A43" s="14">
        <v>13</v>
      </c>
      <c r="B43" s="3" t="s">
        <v>71</v>
      </c>
      <c r="C43" s="33" t="s">
        <v>72</v>
      </c>
      <c r="D43" s="34">
        <v>8.5999999999999993E-2</v>
      </c>
      <c r="E43" s="27">
        <f t="shared" si="6"/>
        <v>1.1179999999999999</v>
      </c>
      <c r="F43" s="28"/>
    </row>
    <row r="44" spans="1:6" ht="14.4" x14ac:dyDescent="0.3">
      <c r="A44" s="14">
        <v>2</v>
      </c>
      <c r="B44" s="3" t="s">
        <v>73</v>
      </c>
      <c r="C44" s="33" t="s">
        <v>74</v>
      </c>
      <c r="D44" s="34">
        <v>0.155</v>
      </c>
      <c r="E44" s="27">
        <f t="shared" si="6"/>
        <v>0.31</v>
      </c>
      <c r="F44" s="28"/>
    </row>
    <row r="45" spans="1:6" ht="14.4" x14ac:dyDescent="0.3">
      <c r="A45" s="14">
        <v>1</v>
      </c>
      <c r="B45" s="3" t="s">
        <v>75</v>
      </c>
      <c r="C45" s="33" t="s">
        <v>76</v>
      </c>
      <c r="D45" s="34">
        <v>8.5999999999999993E-2</v>
      </c>
      <c r="E45" s="27">
        <f t="shared" si="0"/>
        <v>8.5999999999999993E-2</v>
      </c>
      <c r="F45" s="28"/>
    </row>
    <row r="46" spans="1:6" ht="14.4" x14ac:dyDescent="0.3">
      <c r="A46" s="14">
        <v>1</v>
      </c>
      <c r="B46" s="3" t="s">
        <v>77</v>
      </c>
      <c r="C46" s="33" t="s">
        <v>78</v>
      </c>
      <c r="D46" s="34">
        <v>8.5999999999999993E-2</v>
      </c>
      <c r="E46" s="27">
        <f t="shared" si="0"/>
        <v>8.5999999999999993E-2</v>
      </c>
      <c r="F46" s="28"/>
    </row>
    <row r="47" spans="1:6" ht="14.4" x14ac:dyDescent="0.3">
      <c r="A47" s="14">
        <v>1</v>
      </c>
      <c r="B47" s="3" t="s">
        <v>79</v>
      </c>
      <c r="C47" s="33" t="s">
        <v>80</v>
      </c>
      <c r="D47" s="34">
        <v>8.5999999999999993E-2</v>
      </c>
      <c r="E47" s="27">
        <f t="shared" si="0"/>
        <v>8.5999999999999993E-2</v>
      </c>
      <c r="F47" s="28"/>
    </row>
    <row r="48" spans="1:6" ht="14.4" x14ac:dyDescent="0.3">
      <c r="A48" s="16">
        <v>3</v>
      </c>
      <c r="B48" s="3" t="s">
        <v>81</v>
      </c>
      <c r="C48" s="33" t="s">
        <v>82</v>
      </c>
      <c r="D48" s="34">
        <v>0.32700000000000001</v>
      </c>
      <c r="E48" s="27">
        <f t="shared" si="0"/>
        <v>0.98100000000000009</v>
      </c>
      <c r="F48" s="29"/>
    </row>
    <row r="49" spans="1:6" ht="14.4" x14ac:dyDescent="0.3">
      <c r="A49" s="17">
        <v>1</v>
      </c>
      <c r="B49" s="17"/>
      <c r="C49" s="17"/>
      <c r="D49" s="19"/>
      <c r="E49" s="27">
        <f t="shared" si="0"/>
        <v>0</v>
      </c>
      <c r="F49" s="29"/>
    </row>
    <row r="50" spans="1:6" ht="14.4" x14ac:dyDescent="0.3">
      <c r="A50" s="17">
        <v>2</v>
      </c>
      <c r="B50" s="3" t="s">
        <v>83</v>
      </c>
      <c r="C50" s="33" t="s">
        <v>84</v>
      </c>
      <c r="D50" s="34">
        <v>0.13800000000000001</v>
      </c>
      <c r="E50" s="27">
        <f t="shared" si="0"/>
        <v>0.27600000000000002</v>
      </c>
      <c r="F50" s="29"/>
    </row>
    <row r="51" spans="1:6" ht="14.4" x14ac:dyDescent="0.3">
      <c r="A51" s="35">
        <v>1</v>
      </c>
      <c r="B51" s="3" t="s">
        <v>85</v>
      </c>
      <c r="C51" s="33" t="s">
        <v>86</v>
      </c>
      <c r="D51" s="34">
        <v>0.29199999999999998</v>
      </c>
      <c r="E51" s="27">
        <f t="shared" si="0"/>
        <v>0.29199999999999998</v>
      </c>
    </row>
    <row r="52" spans="1:6" ht="14.4" x14ac:dyDescent="0.3">
      <c r="A52" s="35">
        <f>3+2</f>
        <v>5</v>
      </c>
      <c r="B52" s="3" t="s">
        <v>87</v>
      </c>
      <c r="C52" s="33" t="s">
        <v>88</v>
      </c>
      <c r="D52" s="34">
        <v>0.86899999999999999</v>
      </c>
      <c r="E52" s="27">
        <f t="shared" si="0"/>
        <v>4.3449999999999998</v>
      </c>
    </row>
    <row r="53" spans="1:6" ht="14.4" x14ac:dyDescent="0.3">
      <c r="A53" s="35">
        <v>2</v>
      </c>
      <c r="B53" s="3" t="s">
        <v>89</v>
      </c>
      <c r="C53" s="33" t="s">
        <v>90</v>
      </c>
      <c r="D53" s="34">
        <v>0.27500000000000002</v>
      </c>
      <c r="E53" s="27">
        <f t="shared" si="0"/>
        <v>0.55000000000000004</v>
      </c>
    </row>
    <row r="54" spans="1:6" ht="60" x14ac:dyDescent="0.3">
      <c r="A54" s="35">
        <v>1</v>
      </c>
      <c r="B54" s="38" t="s">
        <v>94</v>
      </c>
      <c r="C54" s="39" t="s">
        <v>95</v>
      </c>
      <c r="D54" s="40">
        <v>1.1399999999999999</v>
      </c>
      <c r="E54" s="27">
        <f t="shared" si="0"/>
        <v>1.1399999999999999</v>
      </c>
      <c r="F54" t="s">
        <v>96</v>
      </c>
    </row>
    <row r="55" spans="1:6" ht="14.4" x14ac:dyDescent="0.3">
      <c r="A55" s="35">
        <v>2</v>
      </c>
      <c r="B55" s="41" t="s">
        <v>97</v>
      </c>
      <c r="C55" s="39" t="s">
        <v>98</v>
      </c>
      <c r="D55" s="40">
        <v>8.5999999999999993E-2</v>
      </c>
      <c r="E55" s="27">
        <f t="shared" si="0"/>
        <v>0.17199999999999999</v>
      </c>
      <c r="F55" t="s">
        <v>99</v>
      </c>
    </row>
    <row r="56" spans="1:6" ht="14.4" x14ac:dyDescent="0.3">
      <c r="A56" s="35">
        <v>2</v>
      </c>
      <c r="B56" s="3" t="s">
        <v>100</v>
      </c>
      <c r="C56" s="33" t="s">
        <v>101</v>
      </c>
      <c r="D56" s="34">
        <v>0.52500000000000002</v>
      </c>
      <c r="E56" s="27">
        <f t="shared" si="0"/>
        <v>1.05</v>
      </c>
    </row>
    <row r="57" spans="1:6" ht="30" x14ac:dyDescent="0.3">
      <c r="A57" s="35">
        <v>1</v>
      </c>
      <c r="B57" s="38" t="s">
        <v>102</v>
      </c>
      <c r="C57" s="39" t="s">
        <v>103</v>
      </c>
      <c r="D57" s="40">
        <v>20.92</v>
      </c>
      <c r="E57" s="27">
        <f t="shared" si="0"/>
        <v>20.92</v>
      </c>
    </row>
    <row r="58" spans="1:6" ht="14.4" x14ac:dyDescent="0.3">
      <c r="A58" s="35">
        <v>1</v>
      </c>
      <c r="B58" s="37" t="s">
        <v>104</v>
      </c>
      <c r="C58" s="39" t="s">
        <v>105</v>
      </c>
      <c r="D58" s="40">
        <v>4.6399999999999997</v>
      </c>
      <c r="E58" s="27">
        <f t="shared" si="0"/>
        <v>4.6399999999999997</v>
      </c>
      <c r="F58" t="s">
        <v>106</v>
      </c>
    </row>
    <row r="59" spans="1:6" ht="60" x14ac:dyDescent="0.3">
      <c r="A59" s="35">
        <v>1</v>
      </c>
      <c r="B59" s="38" t="s">
        <v>108</v>
      </c>
      <c r="C59" s="39" t="s">
        <v>107</v>
      </c>
      <c r="D59" s="40">
        <v>0.33500000000000002</v>
      </c>
      <c r="E59" s="27">
        <f t="shared" si="0"/>
        <v>0.33500000000000002</v>
      </c>
      <c r="F59" t="s">
        <v>109</v>
      </c>
    </row>
    <row r="60" spans="1:6" ht="15" thickBot="1" x14ac:dyDescent="0.35">
      <c r="A60" s="35">
        <v>2</v>
      </c>
      <c r="B60" s="3" t="s">
        <v>110</v>
      </c>
      <c r="C60" s="42" t="s">
        <v>111</v>
      </c>
      <c r="D60" s="34">
        <v>14.72</v>
      </c>
      <c r="E60" s="27">
        <f t="shared" si="0"/>
        <v>29.44</v>
      </c>
    </row>
    <row r="61" spans="1:6" ht="30" x14ac:dyDescent="0.3">
      <c r="A61" s="35">
        <v>1</v>
      </c>
      <c r="B61" s="38" t="s">
        <v>112</v>
      </c>
      <c r="C61" s="39" t="s">
        <v>113</v>
      </c>
      <c r="D61" s="40">
        <v>1.31</v>
      </c>
      <c r="E61" s="27">
        <f t="shared" si="0"/>
        <v>1.31</v>
      </c>
      <c r="F61" t="s">
        <v>114</v>
      </c>
    </row>
    <row r="62" spans="1:6" ht="14.4" x14ac:dyDescent="0.3">
      <c r="A62" s="35">
        <v>1</v>
      </c>
      <c r="B62" s="3" t="s">
        <v>115</v>
      </c>
      <c r="C62" s="33" t="s">
        <v>116</v>
      </c>
      <c r="D62" s="34">
        <v>7.08</v>
      </c>
      <c r="E62" s="27">
        <f t="shared" si="0"/>
        <v>7.08</v>
      </c>
    </row>
    <row r="63" spans="1:6" ht="14.4" x14ac:dyDescent="0.3">
      <c r="A63" s="35">
        <v>1</v>
      </c>
      <c r="B63" s="37" t="s">
        <v>117</v>
      </c>
      <c r="C63" s="39" t="s">
        <v>118</v>
      </c>
      <c r="D63" s="40">
        <v>2.82</v>
      </c>
      <c r="E63" s="27">
        <f t="shared" si="0"/>
        <v>2.82</v>
      </c>
      <c r="F63" t="s">
        <v>119</v>
      </c>
    </row>
    <row r="64" spans="1:6" ht="13.8" thickBot="1" x14ac:dyDescent="0.3">
      <c r="A64" s="35">
        <v>2</v>
      </c>
      <c r="B64" s="37" t="s">
        <v>120</v>
      </c>
      <c r="C64" s="39" t="s">
        <v>121</v>
      </c>
      <c r="D64" s="43">
        <v>3.66</v>
      </c>
      <c r="E64" s="44"/>
      <c r="F64" t="s">
        <v>122</v>
      </c>
    </row>
    <row r="65" spans="5:5" ht="14.4" x14ac:dyDescent="0.3">
      <c r="E65" s="27">
        <f t="shared" si="0"/>
        <v>0</v>
      </c>
    </row>
    <row r="66" spans="5:5" ht="14.4" x14ac:dyDescent="0.3">
      <c r="E66" s="27">
        <f t="shared" si="0"/>
        <v>0</v>
      </c>
    </row>
    <row r="67" spans="5:5" ht="14.4" x14ac:dyDescent="0.3">
      <c r="E67" s="27">
        <f t="shared" si="0"/>
        <v>0</v>
      </c>
    </row>
    <row r="68" spans="5:5" ht="14.4" x14ac:dyDescent="0.3">
      <c r="E68" s="27">
        <f t="shared" si="0"/>
        <v>0</v>
      </c>
    </row>
    <row r="69" spans="5:5" ht="14.4" x14ac:dyDescent="0.3">
      <c r="E69" s="27">
        <f t="shared" si="0"/>
        <v>0</v>
      </c>
    </row>
    <row r="70" spans="5:5" ht="14.4" x14ac:dyDescent="0.3">
      <c r="E70" s="27">
        <f t="shared" si="0"/>
        <v>0</v>
      </c>
    </row>
    <row r="71" spans="5:5" ht="14.4" x14ac:dyDescent="0.3">
      <c r="E71" s="27">
        <f t="shared" si="0"/>
        <v>0</v>
      </c>
    </row>
    <row r="72" spans="5:5" ht="14.4" x14ac:dyDescent="0.3">
      <c r="E72" s="27">
        <f t="shared" si="0"/>
        <v>0</v>
      </c>
    </row>
    <row r="73" spans="5:5" ht="14.4" x14ac:dyDescent="0.3">
      <c r="E73" s="27">
        <f t="shared" si="0"/>
        <v>0</v>
      </c>
    </row>
    <row r="74" spans="5:5" ht="14.4" x14ac:dyDescent="0.3">
      <c r="E74" s="27">
        <f t="shared" si="0"/>
        <v>0</v>
      </c>
    </row>
    <row r="75" spans="5:5" ht="14.4" x14ac:dyDescent="0.3">
      <c r="E75" s="27">
        <f t="shared" si="0"/>
        <v>0</v>
      </c>
    </row>
    <row r="76" spans="5:5" ht="14.4" x14ac:dyDescent="0.3">
      <c r="E76" s="27">
        <f t="shared" si="0"/>
        <v>0</v>
      </c>
    </row>
    <row r="77" spans="5:5" ht="14.4" x14ac:dyDescent="0.3">
      <c r="E77" s="27">
        <f t="shared" si="0"/>
        <v>0</v>
      </c>
    </row>
    <row r="78" spans="5:5" ht="14.4" x14ac:dyDescent="0.3">
      <c r="E78" s="27">
        <f t="shared" si="0"/>
        <v>0</v>
      </c>
    </row>
    <row r="79" spans="5:5" ht="14.4" x14ac:dyDescent="0.3">
      <c r="E79" s="27">
        <f t="shared" si="0"/>
        <v>0</v>
      </c>
    </row>
    <row r="80" spans="5:5" ht="14.4" x14ac:dyDescent="0.3">
      <c r="E80" s="27">
        <f t="shared" si="0"/>
        <v>0</v>
      </c>
    </row>
    <row r="81" spans="5:5" ht="14.4" x14ac:dyDescent="0.3">
      <c r="E81" s="27">
        <f t="shared" si="0"/>
        <v>0</v>
      </c>
    </row>
    <row r="82" spans="5:5" ht="14.4" x14ac:dyDescent="0.3">
      <c r="E82" s="27">
        <f t="shared" si="0"/>
        <v>0</v>
      </c>
    </row>
    <row r="83" spans="5:5" ht="14.4" x14ac:dyDescent="0.3">
      <c r="E83" s="27">
        <f t="shared" si="0"/>
        <v>0</v>
      </c>
    </row>
    <row r="84" spans="5:5" ht="14.4" x14ac:dyDescent="0.3">
      <c r="E84" s="27">
        <f t="shared" si="0"/>
        <v>0</v>
      </c>
    </row>
    <row r="85" spans="5:5" ht="14.4" x14ac:dyDescent="0.3">
      <c r="E85" s="27">
        <f t="shared" si="0"/>
        <v>0</v>
      </c>
    </row>
    <row r="86" spans="5:5" ht="14.4" x14ac:dyDescent="0.3">
      <c r="E86" s="27">
        <f t="shared" si="0"/>
        <v>0</v>
      </c>
    </row>
    <row r="87" spans="5:5" ht="14.4" x14ac:dyDescent="0.3">
      <c r="E87" s="27">
        <f t="shared" ref="E87:E100" si="7">A87*D87</f>
        <v>0</v>
      </c>
    </row>
    <row r="88" spans="5:5" ht="14.4" x14ac:dyDescent="0.3">
      <c r="E88" s="27">
        <f t="shared" si="7"/>
        <v>0</v>
      </c>
    </row>
    <row r="89" spans="5:5" ht="14.4" x14ac:dyDescent="0.3">
      <c r="E89" s="27">
        <f t="shared" si="7"/>
        <v>0</v>
      </c>
    </row>
    <row r="90" spans="5:5" ht="14.4" x14ac:dyDescent="0.3">
      <c r="E90" s="27">
        <f t="shared" si="7"/>
        <v>0</v>
      </c>
    </row>
    <row r="91" spans="5:5" ht="14.4" x14ac:dyDescent="0.3">
      <c r="E91" s="27">
        <f t="shared" si="7"/>
        <v>0</v>
      </c>
    </row>
    <row r="92" spans="5:5" ht="14.4" x14ac:dyDescent="0.3">
      <c r="E92" s="27">
        <f t="shared" si="7"/>
        <v>0</v>
      </c>
    </row>
    <row r="93" spans="5:5" ht="14.4" x14ac:dyDescent="0.3">
      <c r="E93" s="27">
        <f t="shared" si="7"/>
        <v>0</v>
      </c>
    </row>
    <row r="94" spans="5:5" ht="14.4" x14ac:dyDescent="0.3">
      <c r="E94" s="27">
        <f t="shared" si="7"/>
        <v>0</v>
      </c>
    </row>
    <row r="95" spans="5:5" ht="14.4" x14ac:dyDescent="0.3">
      <c r="E95" s="27">
        <f t="shared" si="7"/>
        <v>0</v>
      </c>
    </row>
    <row r="96" spans="5:5" ht="14.4" x14ac:dyDescent="0.3">
      <c r="E96" s="27">
        <f t="shared" si="7"/>
        <v>0</v>
      </c>
    </row>
    <row r="97" spans="4:5" ht="14.4" x14ac:dyDescent="0.3">
      <c r="E97" s="27">
        <f t="shared" si="7"/>
        <v>0</v>
      </c>
    </row>
    <row r="98" spans="4:5" ht="14.4" x14ac:dyDescent="0.3">
      <c r="E98" s="27">
        <f t="shared" si="7"/>
        <v>0</v>
      </c>
    </row>
    <row r="99" spans="4:5" ht="14.4" x14ac:dyDescent="0.3">
      <c r="E99" s="27">
        <f t="shared" si="7"/>
        <v>0</v>
      </c>
    </row>
    <row r="100" spans="4:5" ht="15" thickBot="1" x14ac:dyDescent="0.35">
      <c r="E100" s="27">
        <f t="shared" si="7"/>
        <v>0</v>
      </c>
    </row>
    <row r="101" spans="4:5" x14ac:dyDescent="0.25">
      <c r="D101" s="20" t="s">
        <v>17</v>
      </c>
      <c r="E101" s="21">
        <f>SUM(E23:E100)</f>
        <v>94.742999999999995</v>
      </c>
    </row>
    <row r="102" spans="4:5" ht="13.8" thickBot="1" x14ac:dyDescent="0.3">
      <c r="D102" s="22" t="s">
        <v>19</v>
      </c>
      <c r="E102" s="23">
        <f>E101*0.19</f>
        <v>18.001169999999998</v>
      </c>
    </row>
    <row r="103" spans="4:5" ht="13.8" thickBot="1" x14ac:dyDescent="0.3">
      <c r="D103" s="24" t="s">
        <v>18</v>
      </c>
      <c r="E103" s="25">
        <f>E101+E102</f>
        <v>112.74417</v>
      </c>
    </row>
  </sheetData>
  <phoneticPr fontId="4" type="noConversion"/>
  <hyperlinks>
    <hyperlink ref="C4" r:id="rId1" display="https://www.mouser.de/contact/" xr:uid="{75F9E556-575C-4391-9F25-1B580C449C24}"/>
    <hyperlink ref="C5" r:id="rId2" display="https://www.mouser.de/contact/" xr:uid="{516A25AB-481F-4065-A79A-AD7757F25CA4}"/>
    <hyperlink ref="C8" r:id="rId3" display="mailto:muenchen%40mouser.com" xr:uid="{8C325773-3133-474A-B093-1FC79BBD08E8}"/>
    <hyperlink ref="B23" r:id="rId4" display="https://www.mouser.de/de/ProductDetail/YAGEO/CC0603KRX7R9BB104?qs=sGAEpiMZZMukHu%252BjC5l7YUrFUWXVLUy60Yaemy%252Bs3II%3D" xr:uid="{A8D2B5FC-1A13-48C3-B675-FD9BBAC93DEF}"/>
    <hyperlink ref="B24" r:id="rId5" display="https://www.mouser.de/de/ProductDetail/YAGEO/CC0603MRX7R5BB475?qs=sGAEpiMZZMsh%252B1woXyUXj90%252Bz9elmv428DyDbLPeRqs%3D" xr:uid="{B3003CC5-0D74-4CE8-95D1-FDE482B351D4}"/>
    <hyperlink ref="B25" r:id="rId6" display="https://www.mouser.de/de/ProductDetail/YAGEO/CC0603KRX7R9BB104?qs=vTakOoo5QyLvVCYM2ge8LQ%3D%3D" xr:uid="{DF1BBF56-BB9C-4B75-9E44-5158EC34D70A}"/>
    <hyperlink ref="B26" r:id="rId7" display="https://www.mouser.de/de/ProductDetail/KYOCERA-AVX/TPSF157K010R0200?qs=%2FAyNC%2FU1o91Nx%252BUpVCohjg%3D%3D" xr:uid="{B3CF7A32-AC3C-4105-A25D-602F51EBAED3}"/>
    <hyperlink ref="B28" r:id="rId8" display="https://www.mouser.de/de/ProductDetail/KEMET/C0402T101J5GACTU?qs=u4fy%2FsgLU9PLUPqqcVgCTA%3D%3D" xr:uid="{EFE3F8FA-4E48-4411-8F22-D85E7C7BC320}"/>
    <hyperlink ref="B29" r:id="rId9" display="https://www.mouser.de/de/ProductDetail/KYOCERA-AVX/CM03X5R105M06AH?qs=rkhjVJ6%2F3ELzWF91DLscGA%3D%3D" xr:uid="{C4066CE6-03D0-4B69-80B2-619A04B536B7}"/>
    <hyperlink ref="B30" r:id="rId10" display="https://www.mouser.de/de/ProductDetail/TDK/C0402X7R1A102K020BC?qs=Zt%252BKPUOg4oeVeDoDR%252BkQnw%3D%3D" xr:uid="{8D4F1375-CE3E-48FA-B384-828FA323621F}"/>
    <hyperlink ref="B31" r:id="rId11" display="https://www.mouser.de/de/ProductDetail/Vishay-Vitramon/VJ0402D2R2BXCAJ?qs=sGAEpiMZZMsh%252B1woXyUXj2z2wRXEsjcw0y7O4esQ7qA%3D" xr:uid="{2ABF2D99-A1BB-4FF1-BE7F-84B5F4F3268F}"/>
    <hyperlink ref="B32" r:id="rId12" display="https://www.mouser.de/de/ProductDetail/KYOCERA-AVX/04026W475MAT2A?qs=sGAEpiMZZMsh%252B1woXyUXjzY5digEXfcQJ8tiWZZJOtY%3D" xr:uid="{15AE2141-923A-4D0E-B952-8D6CC025E425}"/>
    <hyperlink ref="B33" r:id="rId13" display="https://www.mouser.de/de/ProductDetail/Vishay-Vitramon/VJ0402D150FXCAJ?qs=sGAEpiMZZMsh%252B1woXyUXj2z2wRXEsjcwemUAQOVhQ3A%3D" xr:uid="{817D75E8-405D-4EA7-8DCE-69795EB69235}"/>
    <hyperlink ref="B34" r:id="rId14" display="https://www.mouser.de/de/ProductDetail/YAGEO/CC0402KRX5R8BB104?qs=KosDah%252BIqW%252Br%2Fi6bZws5wg%3D%3D" xr:uid="{16E5FE79-874A-4382-8DC9-44DD26F15074}"/>
    <hyperlink ref="B35" r:id="rId15" display="https://www.mouser.de/de/ProductDetail/Murata-Electronics/GCM1555C1H3R2CA16D?qs=b6dFT0v%2Fxb9um9LTQ3aBBQ%3D%3D" xr:uid="{853682B0-98F2-43B9-99D9-0DCFDF63F48C}"/>
    <hyperlink ref="B36" r:id="rId16" display="https://www.mouser.de/de/ProductDetail/KYOCERA-AVX/0402YU2R4BAT2A?qs=ZwvTZoB9SO%2F9xc3E5Q%252BCrg%3D%3D" xr:uid="{55B2717E-FA6A-446D-915A-0F22977CE9AE}"/>
    <hyperlink ref="B37" r:id="rId17" display="https://www.mouser.de/de/ProductDetail/KYOCERA-AVX/TRJC475K035RRJ?qs=utR%252BHFm0FzLRVcCCl%252BXb7w%3D%3D" xr:uid="{F09BFAE4-79C2-4301-9C44-FA38D08771A2}"/>
    <hyperlink ref="B38" r:id="rId18" display="https://www.mouser.de/de/ProductDetail/Vishay-Vitramon/VJ0603Y102MXAAC?qs=tKBoUWxeOJbblqoMJ9HNGg%3D%3D" xr:uid="{BA852335-009C-4B07-A239-3BA263181CA9}"/>
    <hyperlink ref="B39" r:id="rId19" display="https://www.mouser.de/de/ProductDetail/YAGEO/CC0402JPNPO9BN151?qs=tS%2FAHvPQ%2F54Y2RC7yI%252Bzfg%3D%3D" xr:uid="{7B5CA81D-B569-426C-BD21-0A36EBD6F8CC}"/>
    <hyperlink ref="B40" r:id="rId20" display="https://www.mouser.de/de/ProductDetail/KYOCERA-AVX/06035C331M4T2A?qs=ZBeOGGPQgEHm0YWrnTdMuA%3D%3D" xr:uid="{E39EE717-8E12-45B2-9DBF-9F531F1BDC50}"/>
    <hyperlink ref="B41" r:id="rId21" display="https://www.mouser.de/de/ProductDetail/Vishay-Vitramon/VJ1206A331JXAAT?qs=2M%252BU6H05pn89jvT56Cs8tw%3D%3D" xr:uid="{8B47267A-81B8-45CF-80BF-5116B03E6F37}"/>
    <hyperlink ref="B42" r:id="rId22" display="https://www.mouser.de/de/ProductDetail/YAGEO/CC1206KFX5R7BB106?qs=mzRxyRlhVdtbHnIGelyb5g%3D%3D" xr:uid="{272BBA45-A85E-4864-912F-7A96575578E2}"/>
    <hyperlink ref="B43" r:id="rId23" display="https://www.mouser.de/de/ProductDetail/YAGEO/CC0402KRX7R7BB104?qs=AgBp2OyFlx%252BSOyhfyS7hpw%3D%3D" xr:uid="{D2CA3E01-9FAB-4587-8BE0-B1A7568C7413}"/>
    <hyperlink ref="B44" r:id="rId24" display="https://www.mouser.de/de/ProductDetail/KYOCERA-AVX/04023A1R0DAT2A?qs=FkeSXReRH1vgN2x1fywzxw%3D%3D" xr:uid="{AC75E56E-E08C-4EE4-99C8-46342EF7E297}"/>
    <hyperlink ref="B45" r:id="rId25" display="https://www.mouser.de/de/ProductDetail/YAGEO/AC0402KRX7R9BB272?qs=iHX4uCgIbgNWchYmcffrcg%3D%3D" xr:uid="{487D0D3E-C52E-4343-9072-FE302E0A910E}"/>
    <hyperlink ref="B46" r:id="rId26" display="https://www.mouser.de/de/ProductDetail/YAGEO/CC0402KRX7R7BB393?qs=5q%252BqlK8CmJSJTmxHu%252BIslQ%3D%3D" xr:uid="{FA0C55F2-71AE-43AD-AF66-411A2E94A047}"/>
    <hyperlink ref="B47" r:id="rId27" display="https://www.mouser.de/de/ProductDetail/YAGEO/AC0402KRX7R9BB122?qs=W0yvOO0ixfHbVYdJnLy%252BqQ%3D%3D" xr:uid="{3C636955-701B-48CD-855F-A08FEF9EF02E}"/>
    <hyperlink ref="B48" r:id="rId28" display="https://www.mouser.de/de/ProductDetail/Vishay-Sprague/VJ0402A121JXAAC?qs=3Pj1lnMdkfqiKcr%252BAQDyOQ%3D%3D" xr:uid="{271004D1-B60F-4039-AE45-8095D72D2FBF}"/>
    <hyperlink ref="B50" r:id="rId29" display="https://www.mouser.de/de/ProductDetail/Murata-Electronics/GRM1555CYA103GE01J?qs=d0WKAl%252BL4KbA7gCogz12ew%3D%3D" xr:uid="{7089B96C-4CC0-4434-AF52-9F2D51914CC7}"/>
    <hyperlink ref="B51" r:id="rId30" display="https://www.mouser.de/de/ProductDetail/Nexperia/PESD5V0L1UL315?qs=LMSg3oBIm%2FhjH0Hnn3JlzQ%3D%3D" xr:uid="{11873F8C-32C0-424E-A0A2-54AC67E3F77A}"/>
    <hyperlink ref="B52" r:id="rId31" display="https://www.mouser.de/de/ProductDetail/Bivar/SM0805GC?qs=umy9uXsUyyaRZQCOkrRsOQ%3D%3D" xr:uid="{0E1147B8-7599-4867-8795-4A8DC79E1260}"/>
    <hyperlink ref="B53" r:id="rId32" display="https://www.mouser.de/de/ProductDetail/VCC/LSM0805412V?qs=T3oQrply3y%2F3hzU4lskNyg%3D%3D" xr:uid="{91409628-1BFF-42DC-8B98-0D435B20A621}"/>
    <hyperlink ref="B56" r:id="rId33" display="https://www.mouser.de/en/ProductDetail/Johanson-Technology/2450BP08A0100T?qs=YCa%2FAAYMW02eslDA1%2Fi8Rw%3D%3D" xr:uid="{970BA1BD-3BB2-41FF-B2EA-558275F46E52}"/>
    <hyperlink ref="B60" r:id="rId34" display="https://www.mouser.de/en/ProductDetail/Mini-Circuits/RMS-30%2b?qs=Znm5pLBrcAIBkcPltAJrPg%3D%3D" xr:uid="{32AF05C6-ACC9-4E3A-9FD3-479F67450DC8}"/>
    <hyperlink ref="B62" r:id="rId35" display="https://www.mouser.de/en/ProductDetail/Analog-Devices/HMC374SC70E?qs=pceeu5JH%2FH8aAWz5sXQxvw%3D%3D" xr:uid="{8C9B46EA-5484-4558-BC8D-D6A36F2F9455}"/>
  </hyperlinks>
  <pageMargins left="0.7" right="0.7" top="0.75" bottom="0.75" header="0.3" footer="0.3"/>
  <pageSetup paperSize="9" scale="60" orientation="landscape" horizontalDpi="1200" verticalDpi="1200" r:id="rId3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" sqref="B2"/>
    </sheetView>
  </sheetViews>
  <sheetFormatPr defaultColWidth="11.5546875" defaultRowHeight="13.2" x14ac:dyDescent="0.25"/>
  <sheetData>
    <row r="1" spans="1:2" x14ac:dyDescent="0.25">
      <c r="A1" s="36" t="s">
        <v>91</v>
      </c>
    </row>
    <row r="2" spans="1:2" x14ac:dyDescent="0.25">
      <c r="A2" s="37" t="s">
        <v>92</v>
      </c>
      <c r="B2" t="s">
        <v>93</v>
      </c>
    </row>
  </sheetData>
  <phoneticPr fontId="4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546875" defaultRowHeight="13.2" x14ac:dyDescent="0.25"/>
  <sheetData/>
  <phoneticPr fontId="4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Hochschule Karlsruhe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Fakultät Sensorik und Naturwissenschaften</dc:creator>
  <cp:lastModifiedBy>Jan Hoegen</cp:lastModifiedBy>
  <cp:lastPrinted>2025-03-18T13:42:34Z</cp:lastPrinted>
  <dcterms:created xsi:type="dcterms:W3CDTF">2009-03-10T07:48:09Z</dcterms:created>
  <dcterms:modified xsi:type="dcterms:W3CDTF">2026-07-28T12:46:09Z</dcterms:modified>
</cp:coreProperties>
</file>