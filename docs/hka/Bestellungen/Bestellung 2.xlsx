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E67C9151-5B69-4AE5-BBE2-0FEC5C9213B5}" xr6:coauthVersionLast="47" xr6:coauthVersionMax="47" xr10:uidLastSave="{00000000-0000-0000-0000-000000000000}"/>
  <bookViews>
    <workbookView xWindow="9645" yWindow="0" windowWidth="30210" windowHeight="20985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39" i="1"/>
  <c r="E38" i="1"/>
  <c r="E37" i="1"/>
  <c r="E35" i="1"/>
  <c r="E34" i="1"/>
  <c r="E33" i="1"/>
  <c r="E41" i="1"/>
  <c r="E40" i="1"/>
  <c r="E36" i="1"/>
  <c r="E44" i="1"/>
  <c r="E43" i="1"/>
  <c r="E42" i="1"/>
  <c r="E46" i="1"/>
  <c r="E47" i="1"/>
  <c r="E48" i="1"/>
  <c r="E49" i="1"/>
  <c r="E50" i="1"/>
  <c r="E23" i="1"/>
  <c r="E45" i="1"/>
  <c r="E52" i="1" l="1"/>
  <c r="E53" i="1" l="1"/>
  <c r="E54" i="1" s="1"/>
</calcChain>
</file>

<file path=xl/sharedStrings.xml><?xml version="1.0" encoding="utf-8"?>
<sst xmlns="http://schemas.openxmlformats.org/spreadsheetml/2006/main" count="42" uniqueCount="42">
  <si>
    <t>Artikel.-Nr.</t>
  </si>
  <si>
    <t>Beschreibung</t>
  </si>
  <si>
    <t>Summe €</t>
  </si>
  <si>
    <t>PLZ,Ort</t>
  </si>
  <si>
    <t>Besteller:</t>
  </si>
  <si>
    <t>Einzel Preis €</t>
  </si>
  <si>
    <t xml:space="preserve">Angebotsnummer: </t>
  </si>
  <si>
    <t>Stückzahl</t>
  </si>
  <si>
    <t>Kostenstelle:</t>
  </si>
  <si>
    <t>Fond:</t>
  </si>
  <si>
    <t>Preise Ohne MwSt!</t>
  </si>
  <si>
    <t>Lieferant</t>
  </si>
  <si>
    <t>Wer will es haben?</t>
  </si>
  <si>
    <t>Wer Zahlt?</t>
  </si>
  <si>
    <t>E-Mail: (Lieferant)</t>
  </si>
  <si>
    <t>oder PSP Element</t>
  </si>
  <si>
    <t>Raum:</t>
  </si>
  <si>
    <t>Gesamt</t>
  </si>
  <si>
    <t>Summe</t>
  </si>
  <si>
    <t>zzgl. Mwst</t>
  </si>
  <si>
    <t>ggf. Betreuer</t>
  </si>
  <si>
    <t>Bestell-Links</t>
  </si>
  <si>
    <t>Firma</t>
  </si>
  <si>
    <t>Straße +HNr</t>
  </si>
  <si>
    <t>ggf. Webseite</t>
  </si>
  <si>
    <t xml:space="preserve">Mouser Electronics, Inc. </t>
  </si>
  <si>
    <t>Georg-Brauchle-Ring 53</t>
  </si>
  <si>
    <t>80992 Munich</t>
  </si>
  <si>
    <t>https://www.mouser.de/en/</t>
  </si>
  <si>
    <t>muenchen@mouser.com</t>
  </si>
  <si>
    <t>Jan Hoegen</t>
  </si>
  <si>
    <t>N-206</t>
  </si>
  <si>
    <t>Tristan Itschner</t>
  </si>
  <si>
    <t>CRCW060333K2FKEAC</t>
  </si>
  <si>
    <t>https://www.mouser.de/de/ProductDetail/Vishay/CRCW060333K2FKEAC?qs=E3Y5ESvWgWMA%2Fnx63QrUHA%3D%3D</t>
  </si>
  <si>
    <t>DMP3068L-13</t>
  </si>
  <si>
    <t>MOSFETs 30V P-Ch Enh Mode 72mOhm -10V -3.9A</t>
  </si>
  <si>
    <t>Dickfilmwiderstände - SMD 1/10W 33.2Kohms 1% Commercial Use</t>
  </si>
  <si>
    <t>LQW15CAR64J00D</t>
  </si>
  <si>
    <t>HF-Induktivitäten – SMD</t>
  </si>
  <si>
    <t>AISC-0603-R027J-T</t>
  </si>
  <si>
    <t>HF-Induktivitäten – SMD IND 27.00 nH 0.490 A 190.00 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</si>
</sst>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0" borderId="0" xfId="0" applyFont="1"/>
    <xf numFmtId="0" fontId="6" fillId="0" borderId="0" xfId="0" applyFont="1"/>
    <xf numFmtId="0" fontId="11" fillId="0" borderId="0" xfId="1"/>
    <xf numFmtId="0" fontId="7" fillId="0" borderId="0" xfId="0" applyFont="1"/>
    <xf numFmtId="0" fontId="8" fillId="0" borderId="0" xfId="0" applyFont="1"/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9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44" fontId="0" fillId="0" borderId="0" xfId="2" applyFont="1"/>
    <xf numFmtId="44" fontId="13" fillId="5" borderId="1" xfId="2" applyFont="1" applyFill="1" applyBorder="1" applyAlignment="1" applyProtection="1">
      <alignment horizontal="center"/>
      <protection locked="0"/>
    </xf>
    <xf numFmtId="44" fontId="13" fillId="5" borderId="1" xfId="2" applyFont="1" applyFill="1" applyBorder="1" applyAlignment="1" applyProtection="1">
      <alignment horizontal="center" vertical="center" wrapText="1"/>
      <protection locked="0"/>
    </xf>
    <xf numFmtId="44" fontId="0" fillId="5" borderId="3" xfId="2" applyFont="1" applyFill="1" applyBorder="1" applyProtection="1">
      <protection locked="0"/>
    </xf>
    <xf numFmtId="44" fontId="0" fillId="5" borderId="1" xfId="2" applyFont="1" applyFill="1" applyBorder="1" applyProtection="1">
      <protection locked="0"/>
    </xf>
    <xf numFmtId="0" fontId="5" fillId="0" borderId="4" xfId="0" applyFont="1" applyBorder="1"/>
    <xf numFmtId="44" fontId="0" fillId="0" borderId="5" xfId="2" applyFont="1" applyBorder="1"/>
    <xf numFmtId="0" fontId="5" fillId="0" borderId="6" xfId="0" applyFont="1" applyBorder="1"/>
    <xf numFmtId="44" fontId="0" fillId="0" borderId="7" xfId="2" applyFont="1" applyBorder="1"/>
    <xf numFmtId="0" fontId="5" fillId="0" borderId="8" xfId="0" applyFont="1" applyBorder="1"/>
    <xf numFmtId="44" fontId="0" fillId="0" borderId="9" xfId="2" applyFont="1" applyBorder="1"/>
    <xf numFmtId="0" fontId="12" fillId="0" borderId="10" xfId="0" applyFont="1" applyBorder="1" applyAlignment="1">
      <alignment horizontal="center" vertical="top" wrapText="1"/>
    </xf>
    <xf numFmtId="44" fontId="13" fillId="0" borderId="11" xfId="2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2" fillId="0" borderId="13" xfId="0" applyFont="1" applyBorder="1" applyAlignment="1">
      <alignment horizontal="center" vertical="top" wrapText="1"/>
    </xf>
    <xf numFmtId="0" fontId="5" fillId="4" borderId="1" xfId="0" applyFont="1" applyFill="1" applyBorder="1" applyProtection="1">
      <protection locked="0"/>
    </xf>
    <xf numFmtId="8" fontId="15" fillId="0" borderId="0" xfId="0" applyNumberFormat="1" applyFont="1"/>
    <xf numFmtId="0" fontId="16" fillId="0" borderId="0" xfId="0" applyFont="1"/>
    <xf numFmtId="8" fontId="16" fillId="0" borderId="0" xfId="0" applyNumberFormat="1" applyFont="1"/>
    <xf numFmtId="0" fontId="17" fillId="0" borderId="0" xfId="0" applyFont="1"/>
  </cellXfs>
  <cellStyles count="4">
    <cellStyle name="Currency" xfId="2" builtinId="4"/>
    <cellStyle name="Hyperlink" xfId="1" builtinId="8"/>
    <cellStyle name="Normal" xfId="0" builtinId="0"/>
    <cellStyle name="Normal 2" xfId="3" xr:uid="{3FE26ECE-4424-4CA0-9613-1BAAB47AF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enchen%40mouse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de/contact/" TargetMode="External"/><Relationship Id="rId1" Type="http://schemas.openxmlformats.org/officeDocument/2006/relationships/hyperlink" Target="https://www.mouser.de/contact/" TargetMode="External"/><Relationship Id="rId6" Type="http://schemas.openxmlformats.org/officeDocument/2006/relationships/hyperlink" Target="https://www.mouser.de/de/ProductDetail/ABRACON/AISC-0603-R027J-T?qs=nwAb7ZGSLg4FkdvwVP4kEA%3D%3D" TargetMode="External"/><Relationship Id="rId5" Type="http://schemas.openxmlformats.org/officeDocument/2006/relationships/hyperlink" Target="https://www.mouser.de/de/ProductDetail/Murata-Electronics/LQW15CAR64J00D?qs=Ih85XBhZ45kF6EpVY%252BTZWA%3D%3D" TargetMode="External"/><Relationship Id="rId4" Type="http://schemas.openxmlformats.org/officeDocument/2006/relationships/hyperlink" Target="https://www.mouser.de/de/ProductDetail/Diodes-Incorporated/DMP3068L-13?qs=BvpHGKeVh3oYv%2Fo7o2xLF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54"/>
  <sheetViews>
    <sheetView tabSelected="1" zoomScale="115" zoomScaleNormal="115" workbookViewId="0">
      <selection activeCell="C36" sqref="C36"/>
    </sheetView>
  </sheetViews>
  <sheetFormatPr defaultColWidth="11.5703125" defaultRowHeight="12.75" x14ac:dyDescent="0.2"/>
  <cols>
    <col min="1" max="1" width="11.5703125" customWidth="1"/>
    <col min="2" max="2" width="25.28515625" customWidth="1"/>
    <col min="3" max="3" width="106.28515625" customWidth="1"/>
    <col min="4" max="4" width="18" customWidth="1"/>
    <col min="5" max="5" width="16.5703125" customWidth="1"/>
    <col min="6" max="6" width="26.28515625" customWidth="1"/>
  </cols>
  <sheetData>
    <row r="1" spans="1:5" ht="4.5" customHeight="1" x14ac:dyDescent="0.2">
      <c r="C1" s="11"/>
    </row>
    <row r="2" spans="1:5" ht="20.25" x14ac:dyDescent="0.3">
      <c r="A2" s="5" t="s">
        <v>11</v>
      </c>
      <c r="C2" s="11"/>
    </row>
    <row r="3" spans="1:5" ht="15.75" x14ac:dyDescent="0.25">
      <c r="A3" s="1" t="s">
        <v>22</v>
      </c>
      <c r="B3" s="4"/>
      <c r="C3" s="12" t="s">
        <v>25</v>
      </c>
    </row>
    <row r="4" spans="1:5" ht="15.75" x14ac:dyDescent="0.25">
      <c r="A4" s="1" t="s">
        <v>23</v>
      </c>
      <c r="C4" s="12" t="s">
        <v>26</v>
      </c>
    </row>
    <row r="5" spans="1:5" ht="15.75" x14ac:dyDescent="0.25">
      <c r="A5" s="1" t="s">
        <v>3</v>
      </c>
      <c r="B5" s="3"/>
      <c r="C5" s="12" t="s">
        <v>27</v>
      </c>
    </row>
    <row r="6" spans="1:5" ht="15.75" x14ac:dyDescent="0.25">
      <c r="A6" s="1" t="s">
        <v>24</v>
      </c>
      <c r="B6" s="3"/>
      <c r="C6" s="12" t="s">
        <v>28</v>
      </c>
    </row>
    <row r="7" spans="1:5" ht="15.75" x14ac:dyDescent="0.25">
      <c r="A7" s="1"/>
      <c r="C7" s="11"/>
      <c r="E7" s="7"/>
    </row>
    <row r="8" spans="1:5" ht="15.75" x14ac:dyDescent="0.25">
      <c r="A8" s="1" t="s">
        <v>14</v>
      </c>
      <c r="C8" s="12" t="s">
        <v>29</v>
      </c>
      <c r="E8" s="7"/>
    </row>
    <row r="9" spans="1:5" ht="20.25" x14ac:dyDescent="0.3">
      <c r="A9" s="1" t="s">
        <v>6</v>
      </c>
      <c r="B9" s="5"/>
      <c r="C9" s="12"/>
      <c r="E9" s="7"/>
    </row>
    <row r="10" spans="1:5" ht="20.25" x14ac:dyDescent="0.3">
      <c r="A10" s="1"/>
      <c r="B10" s="5"/>
      <c r="C10" s="11"/>
      <c r="D10" s="9"/>
      <c r="E10" s="7"/>
    </row>
    <row r="11" spans="1:5" ht="20.25" x14ac:dyDescent="0.3">
      <c r="A11" s="10" t="s">
        <v>13</v>
      </c>
      <c r="B11" s="5"/>
      <c r="C11" s="11"/>
      <c r="D11" s="9"/>
      <c r="E11" s="7"/>
    </row>
    <row r="12" spans="1:5" ht="15.75" x14ac:dyDescent="0.25">
      <c r="A12" s="1" t="s">
        <v>8</v>
      </c>
      <c r="C12" s="13"/>
      <c r="E12" s="8"/>
    </row>
    <row r="13" spans="1:5" ht="15.75" x14ac:dyDescent="0.25">
      <c r="A13" s="1" t="s">
        <v>9</v>
      </c>
      <c r="B13" s="2"/>
      <c r="C13" s="13"/>
      <c r="E13" s="7"/>
    </row>
    <row r="14" spans="1:5" ht="15.75" x14ac:dyDescent="0.25">
      <c r="A14" s="1" t="s">
        <v>15</v>
      </c>
      <c r="C14" s="13"/>
      <c r="E14" s="7"/>
    </row>
    <row r="15" spans="1:5" ht="15.75" x14ac:dyDescent="0.25">
      <c r="A15" s="1"/>
      <c r="C15" s="11"/>
      <c r="E15" s="7"/>
    </row>
    <row r="16" spans="1:5" ht="18" x14ac:dyDescent="0.25">
      <c r="A16" s="10" t="s">
        <v>12</v>
      </c>
      <c r="C16" s="11"/>
      <c r="E16" s="8"/>
    </row>
    <row r="17" spans="1:6" ht="15.75" x14ac:dyDescent="0.25">
      <c r="A17" s="1" t="s">
        <v>4</v>
      </c>
      <c r="C17" s="34" t="s">
        <v>30</v>
      </c>
      <c r="E17" s="7"/>
    </row>
    <row r="18" spans="1:6" ht="15.75" x14ac:dyDescent="0.25">
      <c r="A18" s="1" t="s">
        <v>16</v>
      </c>
      <c r="C18" s="34" t="s">
        <v>31</v>
      </c>
      <c r="D18" s="9"/>
      <c r="E18" s="7"/>
    </row>
    <row r="19" spans="1:6" ht="15.75" x14ac:dyDescent="0.25">
      <c r="A19" s="1" t="s">
        <v>20</v>
      </c>
      <c r="C19" s="34" t="s">
        <v>32</v>
      </c>
      <c r="D19" s="9"/>
      <c r="E19" s="7"/>
    </row>
    <row r="20" spans="1:6" ht="15.75" x14ac:dyDescent="0.25">
      <c r="A20" s="1"/>
      <c r="C20" s="11"/>
      <c r="D20" s="9"/>
      <c r="E20" s="7"/>
    </row>
    <row r="21" spans="1:6" ht="13.5" thickBot="1" x14ac:dyDescent="0.25">
      <c r="D21" s="9" t="s">
        <v>10</v>
      </c>
      <c r="E21" s="7"/>
    </row>
    <row r="22" spans="1:6" ht="15" x14ac:dyDescent="0.2">
      <c r="A22" s="6" t="s">
        <v>7</v>
      </c>
      <c r="B22" s="6" t="s">
        <v>0</v>
      </c>
      <c r="C22" s="6" t="s">
        <v>1</v>
      </c>
      <c r="D22" s="6" t="s">
        <v>5</v>
      </c>
      <c r="E22" s="29" t="s">
        <v>2</v>
      </c>
      <c r="F22" s="33" t="s">
        <v>21</v>
      </c>
    </row>
    <row r="23" spans="1:6" ht="15" x14ac:dyDescent="0.25">
      <c r="A23" s="14">
        <v>5</v>
      </c>
      <c r="B23" s="14" t="s">
        <v>33</v>
      </c>
      <c r="C23" s="38" t="s">
        <v>37</v>
      </c>
      <c r="D23" s="35">
        <v>8.5999999999999993E-2</v>
      </c>
      <c r="E23" s="30">
        <f t="shared" ref="E23:E50" si="0">A23*D23</f>
        <v>0.42999999999999994</v>
      </c>
      <c r="F23" s="31" t="s">
        <v>34</v>
      </c>
    </row>
    <row r="24" spans="1:6" ht="15" x14ac:dyDescent="0.25">
      <c r="A24" s="14">
        <v>2</v>
      </c>
      <c r="B24" s="3" t="s">
        <v>35</v>
      </c>
      <c r="C24" s="36" t="s">
        <v>36</v>
      </c>
      <c r="D24" s="37">
        <v>0.439</v>
      </c>
      <c r="E24" s="30">
        <f t="shared" si="0"/>
        <v>0.878</v>
      </c>
      <c r="F24" s="31"/>
    </row>
    <row r="25" spans="1:6" ht="15" x14ac:dyDescent="0.25">
      <c r="A25" s="14">
        <v>5</v>
      </c>
      <c r="B25" s="3" t="s">
        <v>38</v>
      </c>
      <c r="C25" s="36" t="s">
        <v>39</v>
      </c>
      <c r="D25" s="37">
        <v>0.35299999999999998</v>
      </c>
      <c r="E25" s="30">
        <f t="shared" si="0"/>
        <v>1.7649999999999999</v>
      </c>
      <c r="F25" s="31"/>
    </row>
    <row r="26" spans="1:6" ht="15" x14ac:dyDescent="0.25">
      <c r="A26" s="14">
        <v>5</v>
      </c>
      <c r="B26" s="3" t="s">
        <v>40</v>
      </c>
      <c r="C26" s="36" t="s">
        <v>41</v>
      </c>
      <c r="D26" s="37">
        <v>0.18099999999999999</v>
      </c>
      <c r="E26" s="30">
        <f t="shared" si="0"/>
        <v>0.90500000000000003</v>
      </c>
      <c r="F26" s="31"/>
    </row>
    <row r="27" spans="1:6" ht="15" x14ac:dyDescent="0.25">
      <c r="E27" s="30">
        <f t="shared" si="0"/>
        <v>0</v>
      </c>
      <c r="F27" s="31"/>
    </row>
    <row r="28" spans="1:6" ht="15" x14ac:dyDescent="0.25">
      <c r="A28" s="14"/>
      <c r="B28" s="3"/>
      <c r="C28" s="38"/>
      <c r="D28" s="35"/>
      <c r="E28" s="30">
        <f t="shared" si="0"/>
        <v>0</v>
      </c>
      <c r="F28" s="31"/>
    </row>
    <row r="29" spans="1:6" ht="15" x14ac:dyDescent="0.25">
      <c r="A29" s="14"/>
      <c r="B29" s="3"/>
      <c r="C29" s="38"/>
      <c r="D29" s="35"/>
      <c r="E29" s="30">
        <f t="shared" si="0"/>
        <v>0</v>
      </c>
      <c r="F29" s="31"/>
    </row>
    <row r="30" spans="1:6" ht="15" x14ac:dyDescent="0.25">
      <c r="A30" s="14"/>
      <c r="B30" s="14"/>
      <c r="C30" s="38"/>
      <c r="D30" s="35"/>
      <c r="E30" s="30">
        <f t="shared" si="0"/>
        <v>0</v>
      </c>
      <c r="F30" s="31"/>
    </row>
    <row r="31" spans="1:6" ht="15" x14ac:dyDescent="0.25">
      <c r="A31" s="14"/>
      <c r="B31" s="14"/>
      <c r="C31" s="15"/>
      <c r="D31" s="20"/>
      <c r="E31" s="30">
        <f t="shared" si="0"/>
        <v>0</v>
      </c>
      <c r="F31" s="31"/>
    </row>
    <row r="32" spans="1:6" ht="15" x14ac:dyDescent="0.25">
      <c r="A32" s="14"/>
      <c r="B32" s="14"/>
      <c r="C32" s="15"/>
      <c r="D32" s="19"/>
      <c r="E32" s="30">
        <f t="shared" ref="E32" si="1">A32*D32</f>
        <v>0</v>
      </c>
      <c r="F32" s="31"/>
    </row>
    <row r="33" spans="1:6" ht="15" x14ac:dyDescent="0.25">
      <c r="A33" s="14"/>
      <c r="B33" s="14"/>
      <c r="C33" s="15"/>
      <c r="D33" s="19"/>
      <c r="E33" s="30">
        <f t="shared" ref="E33:E35" si="2">A33*D33</f>
        <v>0</v>
      </c>
      <c r="F33" s="31"/>
    </row>
    <row r="34" spans="1:6" ht="15" x14ac:dyDescent="0.25">
      <c r="A34" s="14"/>
      <c r="B34" s="14"/>
      <c r="C34" s="15"/>
      <c r="D34" s="20"/>
      <c r="E34" s="30">
        <f t="shared" si="2"/>
        <v>0</v>
      </c>
      <c r="F34" s="31"/>
    </row>
    <row r="35" spans="1:6" ht="15" x14ac:dyDescent="0.25">
      <c r="A35" s="14"/>
      <c r="B35" s="14"/>
      <c r="C35" s="15"/>
      <c r="D35" s="19"/>
      <c r="E35" s="30">
        <f t="shared" si="2"/>
        <v>0</v>
      </c>
      <c r="F35" s="31"/>
    </row>
    <row r="36" spans="1:6" ht="15" x14ac:dyDescent="0.25">
      <c r="A36" s="14"/>
      <c r="B36" s="14"/>
      <c r="C36" s="15"/>
      <c r="D36" s="19"/>
      <c r="E36" s="30">
        <f t="shared" ref="E36:E41" si="3">A36*D36</f>
        <v>0</v>
      </c>
      <c r="F36" s="31"/>
    </row>
    <row r="37" spans="1:6" ht="15" x14ac:dyDescent="0.25">
      <c r="A37" s="14"/>
      <c r="B37" s="14"/>
      <c r="C37" s="15"/>
      <c r="D37" s="20"/>
      <c r="E37" s="30">
        <f t="shared" si="3"/>
        <v>0</v>
      </c>
      <c r="F37" s="31"/>
    </row>
    <row r="38" spans="1:6" ht="15" x14ac:dyDescent="0.25">
      <c r="A38" s="14"/>
      <c r="B38" s="14"/>
      <c r="C38" s="15"/>
      <c r="D38" s="19"/>
      <c r="E38" s="30">
        <f t="shared" si="3"/>
        <v>0</v>
      </c>
      <c r="F38" s="31"/>
    </row>
    <row r="39" spans="1:6" ht="15" x14ac:dyDescent="0.25">
      <c r="A39" s="14"/>
      <c r="B39" s="14"/>
      <c r="C39" s="15"/>
      <c r="D39" s="19"/>
      <c r="E39" s="30">
        <f t="shared" ref="E39" si="4">A39*D39</f>
        <v>0</v>
      </c>
      <c r="F39" s="31"/>
    </row>
    <row r="40" spans="1:6" ht="15" x14ac:dyDescent="0.25">
      <c r="A40" s="14"/>
      <c r="B40" s="14"/>
      <c r="C40" s="15"/>
      <c r="D40" s="20"/>
      <c r="E40" s="30">
        <f t="shared" si="3"/>
        <v>0</v>
      </c>
      <c r="F40" s="31"/>
    </row>
    <row r="41" spans="1:6" ht="15" x14ac:dyDescent="0.25">
      <c r="A41" s="14"/>
      <c r="B41" s="14"/>
      <c r="C41" s="15"/>
      <c r="D41" s="19"/>
      <c r="E41" s="30">
        <f t="shared" si="3"/>
        <v>0</v>
      </c>
      <c r="F41" s="31"/>
    </row>
    <row r="42" spans="1:6" ht="15" x14ac:dyDescent="0.25">
      <c r="A42" s="14"/>
      <c r="B42" s="14"/>
      <c r="C42" s="15"/>
      <c r="D42" s="19"/>
      <c r="E42" s="30">
        <f t="shared" ref="E42:E44" si="5">A42*D42</f>
        <v>0</v>
      </c>
      <c r="F42" s="31"/>
    </row>
    <row r="43" spans="1:6" ht="15" x14ac:dyDescent="0.25">
      <c r="A43" s="14"/>
      <c r="B43" s="14"/>
      <c r="C43" s="15"/>
      <c r="D43" s="20"/>
      <c r="E43" s="30">
        <f t="shared" si="5"/>
        <v>0</v>
      </c>
      <c r="F43" s="31"/>
    </row>
    <row r="44" spans="1:6" ht="15" x14ac:dyDescent="0.25">
      <c r="A44" s="14"/>
      <c r="B44" s="14"/>
      <c r="C44" s="15"/>
      <c r="D44" s="19"/>
      <c r="E44" s="30">
        <f t="shared" si="5"/>
        <v>0</v>
      </c>
      <c r="F44" s="31"/>
    </row>
    <row r="45" spans="1:6" ht="15" x14ac:dyDescent="0.25">
      <c r="A45" s="14"/>
      <c r="B45" s="14"/>
      <c r="C45" s="15"/>
      <c r="D45" s="19"/>
      <c r="E45" s="30">
        <f t="shared" si="0"/>
        <v>0</v>
      </c>
      <c r="F45" s="31"/>
    </row>
    <row r="46" spans="1:6" ht="15" x14ac:dyDescent="0.25">
      <c r="A46" s="14"/>
      <c r="B46" s="14"/>
      <c r="C46" s="15"/>
      <c r="D46" s="20"/>
      <c r="E46" s="30">
        <f t="shared" si="0"/>
        <v>0</v>
      </c>
      <c r="F46" s="31"/>
    </row>
    <row r="47" spans="1:6" ht="15" x14ac:dyDescent="0.25">
      <c r="A47" s="14"/>
      <c r="B47" s="14"/>
      <c r="C47" s="15"/>
      <c r="D47" s="19"/>
      <c r="E47" s="30">
        <f t="shared" si="0"/>
        <v>0</v>
      </c>
      <c r="F47" s="31"/>
    </row>
    <row r="48" spans="1:6" ht="15" x14ac:dyDescent="0.25">
      <c r="A48" s="16"/>
      <c r="B48" s="17"/>
      <c r="C48" s="17"/>
      <c r="D48" s="21"/>
      <c r="E48" s="30">
        <f t="shared" si="0"/>
        <v>0</v>
      </c>
      <c r="F48" s="32"/>
    </row>
    <row r="49" spans="1:6" ht="15" x14ac:dyDescent="0.25">
      <c r="A49" s="17"/>
      <c r="B49" s="17"/>
      <c r="C49" s="17"/>
      <c r="D49" s="22"/>
      <c r="E49" s="30">
        <f t="shared" si="0"/>
        <v>0</v>
      </c>
      <c r="F49" s="32"/>
    </row>
    <row r="50" spans="1:6" ht="15" x14ac:dyDescent="0.25">
      <c r="A50" s="17"/>
      <c r="B50" s="17"/>
      <c r="C50" s="17"/>
      <c r="D50" s="22"/>
      <c r="E50" s="30">
        <f t="shared" si="0"/>
        <v>0</v>
      </c>
      <c r="F50" s="32"/>
    </row>
    <row r="51" spans="1:6" ht="13.5" thickBot="1" x14ac:dyDescent="0.25">
      <c r="E51" s="18"/>
    </row>
    <row r="52" spans="1:6" x14ac:dyDescent="0.2">
      <c r="D52" s="23" t="s">
        <v>17</v>
      </c>
      <c r="E52" s="24">
        <f>SUM(E23:E49)</f>
        <v>3.9779999999999998</v>
      </c>
    </row>
    <row r="53" spans="1:6" ht="13.5" thickBot="1" x14ac:dyDescent="0.25">
      <c r="D53" s="25" t="s">
        <v>19</v>
      </c>
      <c r="E53" s="26">
        <f>E52*0.19</f>
        <v>0.75581999999999994</v>
      </c>
    </row>
    <row r="54" spans="1:6" ht="13.5" thickBot="1" x14ac:dyDescent="0.25">
      <c r="D54" s="27" t="s">
        <v>18</v>
      </c>
      <c r="E54" s="28">
        <f>E52+E53</f>
        <v>4.7338199999999997</v>
      </c>
    </row>
  </sheetData>
  <phoneticPr fontId="4" type="noConversion"/>
  <hyperlinks>
    <hyperlink ref="C4" r:id="rId1" display="https://www.mouser.de/contact/" xr:uid="{EF9BA6E1-AD2C-4015-AC21-3687067803F5}"/>
    <hyperlink ref="C5" r:id="rId2" display="https://www.mouser.de/contact/" xr:uid="{47CAD5B4-9045-4FF3-B7BA-0A15C4EC32AD}"/>
    <hyperlink ref="C8" r:id="rId3" display="mailto:muenchen%40mouser.com" xr:uid="{18A9A27D-B7AE-4470-A4F3-58A589B5CCA4}"/>
    <hyperlink ref="B24" r:id="rId4" display="https://www.mouser.de/de/ProductDetail/Diodes-Incorporated/DMP3068L-13?qs=BvpHGKeVh3oYv%2Fo7o2xLFg%3D%3D" xr:uid="{29E187AD-FB00-4227-A2D9-F4DB841F246D}"/>
    <hyperlink ref="B25" r:id="rId5" display="https://www.mouser.de/de/ProductDetail/Murata-Electronics/LQW15CAR64J00D?qs=Ih85XBhZ45kF6EpVY%252BTZWA%3D%3D" xr:uid="{906C09CA-63BD-4C5A-AED5-823CBA7AF20B}"/>
    <hyperlink ref="B26" r:id="rId6" display="https://www.mouser.de/de/ProductDetail/ABRACON/AISC-0603-R027J-T?qs=nwAb7ZGSLg4FkdvwVP4kEA%3D%3D" xr:uid="{FB04E394-CF9B-4975-B3A5-0D15E1CA379A}"/>
  </hyperlinks>
  <pageMargins left="0.7" right="0.7" top="0.75" bottom="0.75" header="0.3" footer="0.3"/>
  <pageSetup paperSize="9" scale="60" orientation="landscape" horizontalDpi="1200" verticalDpi="1200" r:id="rId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Fakultät Sensorik und Naturwissenschaften</dc:creator>
  <cp:lastModifiedBy>Jan Hoegen</cp:lastModifiedBy>
  <cp:lastPrinted>2025-03-18T13:42:34Z</cp:lastPrinted>
  <dcterms:created xsi:type="dcterms:W3CDTF">2009-03-10T07:48:09Z</dcterms:created>
  <dcterms:modified xsi:type="dcterms:W3CDTF">2026-09-17T21:02:37Z</dcterms:modified>
</cp:coreProperties>
</file>