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x\Coding\sdr-analog-frontend\docs\hka\"/>
    </mc:Choice>
  </mc:AlternateContent>
  <xr:revisionPtr revIDLastSave="0" documentId="13_ncr:1_{A290C33C-267F-472E-8860-4CD7535D8141}" xr6:coauthVersionLast="47" xr6:coauthVersionMax="47" xr10:uidLastSave="{00000000-0000-0000-0000-000000000000}"/>
  <bookViews>
    <workbookView xWindow="5820" yWindow="825" windowWidth="30210" windowHeight="20880" activeTab="2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3" l="1"/>
  <c r="E29" i="3"/>
  <c r="E30" i="3" s="1"/>
  <c r="E60" i="2"/>
  <c r="E59" i="2"/>
  <c r="E22" i="3"/>
  <c r="E42" i="2"/>
  <c r="E41" i="2"/>
  <c r="E40" i="2"/>
  <c r="E39" i="2"/>
  <c r="E109" i="1"/>
  <c r="E23" i="1"/>
  <c r="E105" i="1"/>
  <c r="E106" i="1"/>
  <c r="E107" i="1"/>
  <c r="E108" i="1"/>
  <c r="E103" i="1"/>
  <c r="E101" i="1"/>
  <c r="E102" i="1"/>
  <c r="E104" i="1"/>
  <c r="E66" i="1"/>
  <c r="E52" i="1"/>
  <c r="E59" i="1"/>
  <c r="E60" i="1"/>
  <c r="E61" i="1"/>
  <c r="E62" i="1"/>
  <c r="E63" i="1"/>
  <c r="E65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51" i="1"/>
  <c r="E53" i="1"/>
  <c r="E54" i="1"/>
  <c r="E55" i="1"/>
  <c r="E56" i="1"/>
  <c r="E57" i="1"/>
  <c r="E58" i="1"/>
  <c r="E24" i="1"/>
  <c r="E32" i="1"/>
  <c r="E31" i="1"/>
  <c r="E30" i="1"/>
  <c r="E39" i="1"/>
  <c r="E38" i="1"/>
  <c r="E37" i="1"/>
  <c r="E35" i="1"/>
  <c r="E34" i="1"/>
  <c r="E33" i="1"/>
  <c r="E41" i="1"/>
  <c r="E40" i="1"/>
  <c r="E36" i="1"/>
  <c r="E44" i="1"/>
  <c r="E43" i="1"/>
  <c r="E42" i="1"/>
  <c r="E26" i="1"/>
  <c r="E29" i="1"/>
  <c r="E28" i="1"/>
  <c r="E27" i="1"/>
  <c r="E25" i="1"/>
  <c r="E46" i="1"/>
  <c r="E47" i="1"/>
  <c r="E48" i="1"/>
  <c r="E49" i="1"/>
  <c r="E50" i="1"/>
  <c r="E45" i="1"/>
  <c r="E61" i="2" l="1"/>
  <c r="E111" i="1"/>
  <c r="E112" i="1" s="1"/>
  <c r="E113" i="1" s="1"/>
</calcChain>
</file>

<file path=xl/sharedStrings.xml><?xml version="1.0" encoding="utf-8"?>
<sst xmlns="http://schemas.openxmlformats.org/spreadsheetml/2006/main" count="287" uniqueCount="229">
  <si>
    <t>Artikel.-Nr.</t>
  </si>
  <si>
    <t>Beschreibung</t>
  </si>
  <si>
    <t>Summe €</t>
  </si>
  <si>
    <t>PLZ,Ort</t>
  </si>
  <si>
    <t>Besteller:</t>
  </si>
  <si>
    <t>Einzel Preis €</t>
  </si>
  <si>
    <t xml:space="preserve">Angebotsnummer: </t>
  </si>
  <si>
    <t>Stückzahl</t>
  </si>
  <si>
    <t>Kostenstelle:</t>
  </si>
  <si>
    <t>Fond:</t>
  </si>
  <si>
    <t>Preise Ohne MwSt!</t>
  </si>
  <si>
    <t>Lieferant</t>
  </si>
  <si>
    <t>Wer will es haben?</t>
  </si>
  <si>
    <t>Wer Zahlt?</t>
  </si>
  <si>
    <t>E-Mail: (Lieferant)</t>
  </si>
  <si>
    <t>oder PSP Element</t>
  </si>
  <si>
    <t>Raum:</t>
  </si>
  <si>
    <t>Gesamt</t>
  </si>
  <si>
    <t>Summe</t>
  </si>
  <si>
    <t>zzgl. Mwst</t>
  </si>
  <si>
    <t>ggf. Betreuer</t>
  </si>
  <si>
    <t>Bestell-Links</t>
  </si>
  <si>
    <t>Firma</t>
  </si>
  <si>
    <t>Straße +HNr</t>
  </si>
  <si>
    <t>ggf. Webseite</t>
  </si>
  <si>
    <t xml:space="preserve">Mouser Electronics, Inc. </t>
  </si>
  <si>
    <t>Georg-Brauchle-Ring 53</t>
  </si>
  <si>
    <t>80992 Munich</t>
  </si>
  <si>
    <t>https://www.mouser.de/en/</t>
  </si>
  <si>
    <t>muenchen@mouser.com</t>
  </si>
  <si>
    <t>Jan Hoegen</t>
  </si>
  <si>
    <t>Tristan Itschner</t>
  </si>
  <si>
    <t>N-206</t>
  </si>
  <si>
    <t>CC0603KRX7R9BB104</t>
  </si>
  <si>
    <t>Kondensator aus mehreren Keramikschichten MLCC - SMD/SMT 50 V 0.1uF X7R 0603 10%</t>
  </si>
  <si>
    <t>CC0603KPX7R8BB105</t>
  </si>
  <si>
    <t>Kondensator aus mehreren Keramikschichten MLCC - SMD/SMT 25V 1uF X7R 0603 10% HI CV</t>
  </si>
  <si>
    <t>CC0603MRX7R5BB475</t>
  </si>
  <si>
    <t>Kondensator aus mehreren Keramikschichten MLCC - SMD/SMT 6.3V 4.7uF X7R 0603 20% HI CV</t>
  </si>
  <si>
    <t>TPSF157K010R0200</t>
  </si>
  <si>
    <t>Tantalkondensatoren - fest für SMD 10V 150uF 10% Tol. 200 ESR</t>
  </si>
  <si>
    <t>C0402T101J5GACTU</t>
  </si>
  <si>
    <t>Kondensator aus mehreren Keramikschichten MLCC - SMD/SMT 50V 100pF C0G 0402 5%</t>
  </si>
  <si>
    <t>Kondensator aus mehreren Keramikschichten MLCC - SMD/SMT KGM03BR50J105MH NEW GLOBAL PN 1uF 20% 6. A 581-KGM03BR50J105MH</t>
  </si>
  <si>
    <t>CM03X5R105M06AH</t>
  </si>
  <si>
    <t>C0402X7R1A102K020BC</t>
  </si>
  <si>
    <t>Kondensator aus mehreren Keramikschichten MLCC - SMD/SMT 01005 10V 1000pF X7R 10% T: 0.2mm</t>
  </si>
  <si>
    <t>VJ0402D2R2BXCAJ</t>
  </si>
  <si>
    <t>Kondensator aus mehreren Keramikschichten MLCC - SMD/SMT 0402 2.2pF 200V C0G +/-.01pF HIFREQ</t>
  </si>
  <si>
    <t>04026W475MAT2A</t>
  </si>
  <si>
    <t>Kondensator aus mehreren Keramikschichten MLCC - SMD/SMT 6.3V 4.7Uf 0402 20%</t>
  </si>
  <si>
    <t>Kondensator aus mehreren Keramikschichten MLCC - SMD/SMT 0402 15pF 200V C0G 1% HI FREQ</t>
  </si>
  <si>
    <t>VJ0402D150FXCAJ</t>
  </si>
  <si>
    <t>Kondensator aus mehreren Keramikschichten MLCC - SMD/SMT 25 V 0.1uF X5R 0402 10%</t>
  </si>
  <si>
    <t>CC0402KRX5R8BB104</t>
  </si>
  <si>
    <t>Kondensator aus mehreren Keramikschichten MLCC - SMD/SMT 3.2 pF 50 VDC 0.25 pF 0402 C0G (NP0) AEC-Q200</t>
  </si>
  <si>
    <t>GCM1555C1H3R2CA16D</t>
  </si>
  <si>
    <t>0402YU2R4BAT2A</t>
  </si>
  <si>
    <t>Kondensator aus mehreren Keramikschichten MLCC - SMD/SMT 16V 2.4pF C0G 0402 0 .1pF</t>
  </si>
  <si>
    <t>TRJC475K035RRJ</t>
  </si>
  <si>
    <t>Tantalkondensatoren - fest für SMD 4.7uF +/-10% 35V</t>
  </si>
  <si>
    <t>VJ0603Y102MXAAC</t>
  </si>
  <si>
    <t>Kondensator aus mehreren Keramikschichten MLCC - SMD/SMT 1000pF 50volts X7R 20%</t>
  </si>
  <si>
    <t>CC0402JPNPO9BN151</t>
  </si>
  <si>
    <t>Kondensator aus mehreren Keramikschichten MLCC - SMD/SMT 50 V 150pF C0G 0402 5%</t>
  </si>
  <si>
    <t>06035C331M4T2A</t>
  </si>
  <si>
    <t>Kondensator aus mehreren Keramikschichten MLCC - SMD/SMT 50V 330pF X7R 0603 2 0% AEC-Q200</t>
  </si>
  <si>
    <t>VJ1206A331JXAAT</t>
  </si>
  <si>
    <t>Kondensator aus mehreren Keramikschichten MLCC - SMD/SMT 330pF 50volts C0G 5%</t>
  </si>
  <si>
    <t>CC1206KFX5R7BB106</t>
  </si>
  <si>
    <t>Kondensator aus mehreren Keramikschichten MLCC - SMD/SMT 16V 10uF X5R 1206 10% HI CV</t>
  </si>
  <si>
    <t>CC0402KRX7R7BB104</t>
  </si>
  <si>
    <t>Kondensator aus mehreren Keramikschichten MLCC - SMD/SMT 16 V 0.1uF X7R 0402 10%</t>
  </si>
  <si>
    <t>04023A1R0DAT2A</t>
  </si>
  <si>
    <t>Kondensator aus mehreren Keramikschichten MLCC - SMD/SMT 25V 1pF C0G 0402 .5p F Tol</t>
  </si>
  <si>
    <t>AC0402KRX7R9BB272</t>
  </si>
  <si>
    <t>Kondensator aus mehreren Keramikschichten MLCC - SMD/SMT 50V 2700pF X7R 0402 10% AEC-Q200</t>
  </si>
  <si>
    <t>CC0402KRX7R7BB393</t>
  </si>
  <si>
    <t>Kondensator aus mehreren Keramikschichten MLCC - SMD/SMT 16V 0.039uF X7R 0402 10%</t>
  </si>
  <si>
    <t>AC0402KRX7R9BB122</t>
  </si>
  <si>
    <t>Kondensator aus mehreren Keramikschichten MLCC - SMD/SMT 50V 1200pF X7R 0402 10% AEC-Q200</t>
  </si>
  <si>
    <t>VJ0402A121JXAAC</t>
  </si>
  <si>
    <t>Kondensator aus mehreren Keramikschichten MLCC - SMD/SMT VJ0402A121JXAAC00</t>
  </si>
  <si>
    <t>GRM1555CYA103GE01J</t>
  </si>
  <si>
    <t>Kondensator aus mehreren Keramikschichten MLCC - SMD/SMT 0.01 uF 35 VDC 2% 0402 C0G (NP0)</t>
  </si>
  <si>
    <t>SM0805GC</t>
  </si>
  <si>
    <t>Einfarbige LEDs leds Green 568nm Water Clear</t>
  </si>
  <si>
    <t>LSM0805412V</t>
  </si>
  <si>
    <t>Einfarbige LEDs leds 0805 2V 100mcd Red</t>
  </si>
  <si>
    <t>SKY16602-632LF</t>
  </si>
  <si>
    <t>https://www.digikey.de/de/products/detail/skyworks-solutions-inc/SKY16602-632LF/4959401?s=N4IgTCBcDaIMoGkCaBGAbGgDGAtGgzGADIBiIAugL5A</t>
  </si>
  <si>
    <t>28C0236-0JW-10</t>
  </si>
  <si>
    <t>Ferrite Beads 998ohms 100MHz 5A Thru-hole</t>
  </si>
  <si>
    <t>https://www.mouser.de/en/ProductDetail/Laird/28C0236-0JW-10?qs=wjes1ZhMGKc2BBahb2yqoA%3D%3D</t>
  </si>
  <si>
    <t>BLM18PG121SN1D</t>
  </si>
  <si>
    <t>Ferrite Beads 120 OHM 25% Alternate Sizing Guide Below</t>
  </si>
  <si>
    <t>https://www.mouser.de/en/ProductDetail/Murata-Electronics/BLM18PG121SN1D?qs=tY8e8KZalarVxhnmnUYZ1A%3D%3D</t>
  </si>
  <si>
    <t>2450BP08A0100T</t>
  </si>
  <si>
    <t>Signal Conditioning PLEASE SEE GLOBAL MFG PN: 2450BP08A0100001T</t>
  </si>
  <si>
    <t>SYBP-92+</t>
  </si>
  <si>
    <t>Signal Conditioning Lumped LC Band Pass Filter, 800 - 1000 MHz, 50?</t>
  </si>
  <si>
    <t>LFCN-1800+</t>
  </si>
  <si>
    <t>Power Switch ICs - Power Distribution Load Switch</t>
  </si>
  <si>
    <t>AP22811AW5-7</t>
  </si>
  <si>
    <t>https://www.mouser.de/en/ProductDetail/Diodes-Incorporated/AP22811AW5-7?qs=lqAf%2FiVYw9gUYgIV6BQI1w%3D%3D</t>
  </si>
  <si>
    <t>RMS-30+</t>
  </si>
  <si>
    <t>RF Mixer Level 7, SMT Double Balanced Mixer, RF/LO Freq 200 - 3000 MHz</t>
  </si>
  <si>
    <t>SE2576L-R</t>
  </si>
  <si>
    <t>RF Amplifier 2.4GHz P1dB 32dBm 5.0Volt 802.11bgn</t>
  </si>
  <si>
    <t>https://www.mouser.de/en/ProductDetail/Skyworks-Solutions-Inc/SE2576L-R?qs=WMHGlxXAKT%252BgTam3WBvNxQ%3D%3D</t>
  </si>
  <si>
    <t>HMC374SC70E</t>
  </si>
  <si>
    <t>RF Amplifier lo Noise amp</t>
  </si>
  <si>
    <t>PGA-103+</t>
  </si>
  <si>
    <t>RF Amplifier ML AMPL / SURF MT / 4GHZ RoHS</t>
  </si>
  <si>
    <t>https://www.mouser.de/en/ProductDetail/Mini-Circuits/PGA-103%2b?qs=xZ%2FP%252Ba9zWqZWniifnGTm5A%3D%3D</t>
  </si>
  <si>
    <t>PSA4-5043+</t>
  </si>
  <si>
    <t>RF Amplifier ML AMPL / SURF MOUNT / RoHS</t>
  </si>
  <si>
    <t>https://www.mouser.de/en/ProductDetail/Mini-Circuits/PSA4-5043%2b?qs=xZ%2FP%252Ba9zWqbLkryIxS%2FdVA%3D%3D</t>
  </si>
  <si>
    <t>CQ0402FRNPO9BN100</t>
  </si>
  <si>
    <t>Kondensator aus mehreren Keramikschichten MLCC - SMD/SMT 50 V 10 pF C0G 0402 1%</t>
  </si>
  <si>
    <t>74LVC4T3144PWJ</t>
  </si>
  <si>
    <t>Buffers &amp; Line Drivers 74LVC4T3144PW/SOT402/TSSOP14</t>
  </si>
  <si>
    <t>LTC6992CS6-4#TRMPBF</t>
  </si>
  <si>
    <t>Switching Controllers TimerBlox: V-Controlled Pulse Width Mod</t>
  </si>
  <si>
    <t>https://www.mouser.de/en/ProductDetail/Analog-Devices/LTC6992CS6-4TRMPBF?qs=hVkxg5c3xu8%252B3R%2FY9NegPg%3D%3D</t>
  </si>
  <si>
    <t>74LVC244AD-Q100J</t>
  </si>
  <si>
    <t>Buffers &amp; Line Drivers 74LVC244AD-Q100/SOT163/SO20</t>
  </si>
  <si>
    <t>https://www.mouser.de/en/ProductDetail/Nexperia/74LVC244AD-Q100J?qs=cbprxTG2Yq%252B6VesrNbHshg%3D%3D</t>
  </si>
  <si>
    <t>901-10309</t>
  </si>
  <si>
    <t>RF Connectors / Coaxial Connectors SMA End Launch PCB Jack</t>
  </si>
  <si>
    <t>PJ-063AH</t>
  </si>
  <si>
    <t>DC Power Connectors Power Jacks</t>
  </si>
  <si>
    <t>https://www.mouser.de/en/ProductDetail/Same-Sky/PJ-063AH?qs=WyjlAZoYn51bQfA53nMcVA%3D%3D</t>
  </si>
  <si>
    <t>CONMHF1-SMD-T</t>
  </si>
  <si>
    <t>RF Connectors / Coaxial Connectors MHF1 Connector Receptacle, Male Pin 50 Ohm Surface Mount Solder</t>
  </si>
  <si>
    <t>https://www.mouser.de/en/ProductDetail/TE-Connectivity-Linx-Technologies/CONMHF1-SMD-T?qs=7D1LtPJG0i2FCBGfMy%252B%252BIw%3D%3D</t>
  </si>
  <si>
    <t>D01-9970642</t>
  </si>
  <si>
    <t>IC &amp; Component Sockets D01 6 WAY SIL HORIZ SMT SKT T&amp;R</t>
  </si>
  <si>
    <t>D01-9970342</t>
  </si>
  <si>
    <t>IC &amp; Component Sockets D01 3 WAY SIL HORIZ SMT SKT T&amp;R</t>
  </si>
  <si>
    <t>DW-01-07-T-S-200</t>
  </si>
  <si>
    <t>Board to Board &amp; Mezzanine Connectors Flexible Board Stacking Header with Fixed Tail Length</t>
  </si>
  <si>
    <t>LQG15HN1N5S02D</t>
  </si>
  <si>
    <t>HF-Induktivitäten – SMD 1.5 NH +-.3NH</t>
  </si>
  <si>
    <t>CE0603M-27NH</t>
  </si>
  <si>
    <t>HF-Induktivitäten – SMD Ind,0.6x0.3x0.3mm,27nH3%,140mA</t>
  </si>
  <si>
    <t>MLG1005S12NHT000</t>
  </si>
  <si>
    <t>HF-Induktivitäten – SMD IND 0402 12nH StdQ SMD RF IND</t>
  </si>
  <si>
    <t>LQW2UASR62F00L</t>
  </si>
  <si>
    <t>HF-Induktivitäten – SMD</t>
  </si>
  <si>
    <t>MLG1005S7N5JTD25</t>
  </si>
  <si>
    <t>HF-Induktivitäten – SMD IND 0402 7.5nH StdQ AEC Q200 RF IND</t>
  </si>
  <si>
    <t>MLG1005S47NHT000</t>
  </si>
  <si>
    <t>HF-Induktivitäten – SMD IND 0402 47nH StdQ SMD RF IND</t>
  </si>
  <si>
    <t>DMP3068L-7</t>
  </si>
  <si>
    <t>MOSFETs 30V P-Ch Enh Mode 72mOhm -10V -3.9A</t>
  </si>
  <si>
    <t>2N7002</t>
  </si>
  <si>
    <t>MOSFETs N-CHANNEL 60V 115mA</t>
  </si>
  <si>
    <t>AF0603FR-13100KL</t>
  </si>
  <si>
    <t>Thick Film Resistors - SMD 100kOhms 1/10W 0603 1% AEC-Q200</t>
  </si>
  <si>
    <t>TNPU06031K00AYEA00</t>
  </si>
  <si>
    <t>Thin Film Resistors - SMD 1/10W 1Kohm 0.05% 10ppm</t>
  </si>
  <si>
    <t>AC0603DRE0710KL</t>
  </si>
  <si>
    <t>Thick Film Resistors - SMD 10 k Ohms 100mW 0603 0.5% AEC-Q200 Standard Power Version</t>
  </si>
  <si>
    <t>CRCW0603453KFKEAHP</t>
  </si>
  <si>
    <t>Thick Film Resistors - SMD CRCW0603-HP 100 453K 1% ET1 E3</t>
  </si>
  <si>
    <t>RT0603FRD07499KL</t>
  </si>
  <si>
    <t>Thin Film Resistors - SMD</t>
  </si>
  <si>
    <t>CRCW060349K9FKEA</t>
  </si>
  <si>
    <t>Thick Film Resistors - SMD 1/8 Watt 49.9Kohms 1%</t>
  </si>
  <si>
    <t>TNPU0603150RBZEN00</t>
  </si>
  <si>
    <t>Thin Film Resistors - SMD TNPU0603 150R 0.1% T-16 E52 e3</t>
  </si>
  <si>
    <t>CRCW060333K2FKTA</t>
  </si>
  <si>
    <t>Thick Film Resistors - SMD 1/10watt 33.2Kohms 1%</t>
  </si>
  <si>
    <t>CRCW040291R0FKEDHP</t>
  </si>
  <si>
    <t>Thick Film Resistors - SMD 91 OHM 1% 1/5W 100PPM</t>
  </si>
  <si>
    <t>CRCW06030000Z0TAHP</t>
  </si>
  <si>
    <t>Thick Film Resistors - SMD CRCW0603-HP 0R0 RT1</t>
  </si>
  <si>
    <t>CRCW060326K7FKEA</t>
  </si>
  <si>
    <t>Thick Film Resistors - SMD 1/8 Watt 26.7Kohms 1%</t>
  </si>
  <si>
    <t>RC0603DR-07150RL</t>
  </si>
  <si>
    <t>Thick Film Resistors - SMD General Purpose Chip Resistor 0603, 150Ohms, 0.5%, 1/10W</t>
  </si>
  <si>
    <t>TR0603MR-07100RL</t>
  </si>
  <si>
    <t>Thick Film Resistors - SMD 100Ohms 1/10W 0603 20%</t>
  </si>
  <si>
    <t>RC0603JR-1351RL</t>
  </si>
  <si>
    <t>Thick Film Resistors - SMD General Purpose Chip Resistor 0603, 51Ohms, 5%, 1/10W</t>
  </si>
  <si>
    <t>TNPW0603680RDEEA</t>
  </si>
  <si>
    <t>Thin Film Resistors - SMD 680ohms .5% 25ppm</t>
  </si>
  <si>
    <t>TNPW0603360RFHEA</t>
  </si>
  <si>
    <t>Thin Film Resistors - SMD TNPW0603 360R 1% T-2 ET1 e3</t>
  </si>
  <si>
    <t>CRCW06034K70FKEA</t>
  </si>
  <si>
    <t>Thick Film Resistors - SMD 1/8 Watt 4.7Kohms 1%</t>
  </si>
  <si>
    <t>RCA0402100RJNED</t>
  </si>
  <si>
    <t>Thick Film Resistors - SMD RCA0402 100R 5% 200 ET7 E3</t>
  </si>
  <si>
    <t>CRCW0402200RJNEE</t>
  </si>
  <si>
    <t>Thick Film Resistors - SMD D10/CRCW0402 200 200R 5% EF4 E3</t>
  </si>
  <si>
    <t>RT0603BRD0750KL</t>
  </si>
  <si>
    <t>Thin Film Resistors - SMD 50K ohm 0.1% 25 ppm High-Precision</t>
  </si>
  <si>
    <t>TDA01H0SB1R</t>
  </si>
  <si>
    <t>DIP Switches/SIP Switches SM HalfPitch DIP Swt SPST, 1 POS, STerm</t>
  </si>
  <si>
    <t>https://www.mouser.de/en/ProductDetail/CK/TDA01H0SB1R?qs=lOK7l5uMVC87jfMCZ7r7tA%3D%3D</t>
  </si>
  <si>
    <t>LT3042MPMSE#PBF</t>
  </si>
  <si>
    <t>LDO Voltage Regulators 20V, 200mA, Ultralow N, Ultrahigh PSRR R</t>
  </si>
  <si>
    <t>TCCH-80+</t>
  </si>
  <si>
    <t>Common Mode Chokes / Filters RF CHOKE / SURF MOUNT / RoHS</t>
  </si>
  <si>
    <t>ADF4351BCPZ</t>
  </si>
  <si>
    <t>Phase Locked Loops - PLL 34-4400MHz PLL with Integrated VCO</t>
  </si>
  <si>
    <t>PD0922J5050D2HF</t>
  </si>
  <si>
    <t>Signal Conditioning 950-2150MHz IL .8dB Mini Wilkinson PD</t>
  </si>
  <si>
    <t>XMB0220K1-50100G</t>
  </si>
  <si>
    <t>Signal Conditioning Broadband High-Performance, 50ohm Unbalanced to 100ohm Balanced Transformer</t>
  </si>
  <si>
    <t>ATX-11-F-26.000MHz-F05-T</t>
  </si>
  <si>
    <t>TCXO Oscillators TCXO 3225 4-SMD 26MHz 500ppb -40C - 85C Clipped Sine Wave 1.68V - 3.63V</t>
  </si>
  <si>
    <t>DESD5V0U1BL-7B</t>
  </si>
  <si>
    <t>ESD Protection Diodes / TVS Diodes LowCap BiDirectional 1Ch TVS 3A 250mW</t>
  </si>
  <si>
    <t>https://www.digikey.de/en/products/detail/mini-circuits/LFCN-1800/13927464?s=N4IgTCBcDaIDIDEDCA5AtARgBwAYcGoQBdAXyA</t>
  </si>
  <si>
    <t>https://www.weylan-d.com/goods/detail/4311805/</t>
  </si>
  <si>
    <t>RF DIODE PIN 20V 12W 2MLP</t>
  </si>
  <si>
    <t>CER FILTER 2.125GHZ LOW PASS</t>
  </si>
  <si>
    <t xml:space="preserve">Theresienhöhe 11A
</t>
  </si>
  <si>
    <t>80339 München, Deutschland</t>
  </si>
  <si>
    <t>https://www.digikey.de/de/help/legal-information</t>
  </si>
  <si>
    <t>eu.support@digikey.com</t>
  </si>
  <si>
    <t>DigiKey Germany GmbH</t>
  </si>
  <si>
    <t>service@weylan-d.com</t>
  </si>
  <si>
    <t>7500A BEACH ROAD</t>
  </si>
  <si>
    <t>#04-307 THE PLAZA SINGAPORE (199591)</t>
  </si>
  <si>
    <t>https://www.weylan-d.com/</t>
  </si>
  <si>
    <t>Weyland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</si>
</sst>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Arial"/>
      <family val="2"/>
    </font>
    <font>
      <sz val="7"/>
      <color rgb="FF333333"/>
      <name val="Arial"/>
      <family val="2"/>
    </font>
    <font>
      <i/>
      <sz val="8"/>
      <color rgb="FF8CAAEE"/>
      <name val="Consolas"/>
      <family val="3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b/>
      <sz val="8"/>
      <color rgb="FFE78284"/>
      <name val="Consolas"/>
      <family val="3"/>
    </font>
    <font>
      <sz val="9"/>
      <color rgb="FF333333"/>
      <name val="Arial"/>
      <family val="2"/>
    </font>
    <font>
      <i/>
      <sz val="11"/>
      <color rgb="FF8CAAEE"/>
      <name val="Consolas"/>
      <family val="3"/>
    </font>
    <font>
      <sz val="12"/>
      <color rgb="FF333333"/>
      <name val="Arial"/>
      <family val="2"/>
    </font>
    <font>
      <sz val="12"/>
      <color rgb="FF333333"/>
      <name val="Arial"/>
      <family val="2"/>
    </font>
    <font>
      <sz val="9"/>
      <color rgb="FF444444"/>
      <name val="Arial"/>
      <family val="2"/>
    </font>
    <font>
      <sz val="9"/>
      <color rgb="FF222222"/>
      <name val="Arial"/>
      <family val="2"/>
    </font>
    <font>
      <sz val="9"/>
      <color rgb="FF08062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4">
    <xf numFmtId="0" fontId="0" fillId="0" borderId="0"/>
    <xf numFmtId="0" fontId="11" fillId="0" borderId="0" applyNumberFormat="0" applyFill="0" applyBorder="0" applyAlignment="0" applyProtection="0"/>
    <xf numFmtId="44" fontId="2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3" fillId="0" borderId="0" xfId="0" applyFont="1"/>
    <xf numFmtId="0" fontId="6" fillId="0" borderId="0" xfId="0" applyFont="1"/>
    <xf numFmtId="0" fontId="11" fillId="0" borderId="0" xfId="1"/>
    <xf numFmtId="0" fontId="7" fillId="0" borderId="0" xfId="0" applyFont="1"/>
    <xf numFmtId="0" fontId="8" fillId="0" borderId="0" xfId="0" applyFont="1"/>
    <xf numFmtId="0" fontId="12" fillId="0" borderId="2" xfId="0" applyFont="1" applyBorder="1" applyAlignment="1">
      <alignment horizontal="center" vertical="top" wrapText="1"/>
    </xf>
    <xf numFmtId="0" fontId="0" fillId="0" borderId="0" xfId="0" applyAlignment="1">
      <alignment textRotation="90"/>
    </xf>
    <xf numFmtId="0" fontId="5" fillId="0" borderId="0" xfId="0" applyFont="1" applyAlignment="1">
      <alignment textRotation="90"/>
    </xf>
    <xf numFmtId="0" fontId="9" fillId="0" borderId="0" xfId="0" applyFont="1"/>
    <xf numFmtId="0" fontId="14" fillId="0" borderId="0" xfId="0" applyFont="1"/>
    <xf numFmtId="0" fontId="0" fillId="0" borderId="0" xfId="0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3" fillId="5" borderId="1" xfId="0" applyFont="1" applyFill="1" applyBorder="1" applyAlignment="1" applyProtection="1">
      <alignment horizontal="center"/>
      <protection locked="0"/>
    </xf>
    <xf numFmtId="0" fontId="0" fillId="5" borderId="3" xfId="0" applyFill="1" applyBorder="1" applyProtection="1">
      <protection locked="0"/>
    </xf>
    <xf numFmtId="0" fontId="0" fillId="5" borderId="1" xfId="0" applyFill="1" applyBorder="1" applyProtection="1">
      <protection locked="0"/>
    </xf>
    <xf numFmtId="44" fontId="0" fillId="5" borderId="1" xfId="2" applyFont="1" applyFill="1" applyBorder="1" applyProtection="1">
      <protection locked="0"/>
    </xf>
    <xf numFmtId="0" fontId="5" fillId="0" borderId="4" xfId="0" applyFont="1" applyBorder="1"/>
    <xf numFmtId="44" fontId="0" fillId="0" borderId="5" xfId="2" applyFont="1" applyBorder="1"/>
    <xf numFmtId="0" fontId="5" fillId="0" borderId="6" xfId="0" applyFont="1" applyBorder="1"/>
    <xf numFmtId="44" fontId="0" fillId="0" borderId="7" xfId="2" applyFont="1" applyBorder="1"/>
    <xf numFmtId="0" fontId="5" fillId="0" borderId="8" xfId="0" applyFont="1" applyBorder="1"/>
    <xf numFmtId="44" fontId="0" fillId="0" borderId="9" xfId="2" applyFont="1" applyBorder="1"/>
    <xf numFmtId="0" fontId="12" fillId="0" borderId="10" xfId="0" applyFont="1" applyBorder="1" applyAlignment="1">
      <alignment horizontal="center" vertical="top" wrapText="1"/>
    </xf>
    <xf numFmtId="44" fontId="13" fillId="0" borderId="11" xfId="2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0" borderId="12" xfId="0" applyBorder="1"/>
    <xf numFmtId="0" fontId="12" fillId="0" borderId="13" xfId="0" applyFont="1" applyBorder="1" applyAlignment="1">
      <alignment horizontal="center" vertical="top" wrapText="1"/>
    </xf>
    <xf numFmtId="0" fontId="1" fillId="0" borderId="0" xfId="3"/>
    <xf numFmtId="0" fontId="5" fillId="4" borderId="1" xfId="0" applyFont="1" applyFill="1" applyBorder="1" applyProtection="1">
      <protection locked="0"/>
    </xf>
    <xf numFmtId="0" fontId="15" fillId="0" borderId="0" xfId="0" applyFont="1"/>
    <xf numFmtId="8" fontId="15" fillId="0" borderId="0" xfId="0" applyNumberFormat="1" applyFont="1"/>
    <xf numFmtId="0" fontId="0" fillId="5" borderId="14" xfId="0" applyFill="1" applyBorder="1" applyProtection="1">
      <protection locked="0"/>
    </xf>
    <xf numFmtId="0" fontId="5" fillId="0" borderId="0" xfId="0" applyFont="1"/>
    <xf numFmtId="0" fontId="16" fillId="0" borderId="0" xfId="0" applyFont="1" applyAlignment="1">
      <alignment vertical="center"/>
    </xf>
    <xf numFmtId="0" fontId="17" fillId="0" borderId="0" xfId="0" applyFont="1"/>
    <xf numFmtId="8" fontId="18" fillId="0" borderId="0" xfId="0" applyNumberFormat="1" applyFont="1"/>
    <xf numFmtId="0" fontId="19" fillId="0" borderId="0" xfId="0" applyFont="1" applyAlignment="1">
      <alignment vertical="center"/>
    </xf>
    <xf numFmtId="0" fontId="15" fillId="6" borderId="15" xfId="0" applyFont="1" applyFill="1" applyBorder="1" applyAlignment="1">
      <alignment vertical="top" wrapText="1"/>
    </xf>
    <xf numFmtId="8" fontId="18" fillId="6" borderId="15" xfId="0" applyNumberFormat="1" applyFont="1" applyFill="1" applyBorder="1" applyAlignment="1">
      <alignment horizontal="right" vertical="top" wrapText="1" indent="1"/>
    </xf>
    <xf numFmtId="0" fontId="18" fillId="6" borderId="15" xfId="0" applyFont="1" applyFill="1" applyBorder="1" applyAlignment="1">
      <alignment horizontal="right" vertical="top" indent="1"/>
    </xf>
    <xf numFmtId="0" fontId="20" fillId="0" borderId="0" xfId="0" applyFont="1"/>
    <xf numFmtId="8" fontId="0" fillId="0" borderId="0" xfId="0" applyNumberFormat="1"/>
    <xf numFmtId="8" fontId="20" fillId="0" borderId="0" xfId="0" applyNumberFormat="1" applyFont="1"/>
    <xf numFmtId="0" fontId="21" fillId="0" borderId="0" xfId="0" applyFont="1" applyAlignment="1">
      <alignment vertical="center"/>
    </xf>
    <xf numFmtId="0" fontId="22" fillId="0" borderId="0" xfId="0" applyFont="1"/>
    <xf numFmtId="8" fontId="23" fillId="0" borderId="0" xfId="0" applyNumberFormat="1" applyFont="1"/>
    <xf numFmtId="0" fontId="0" fillId="5" borderId="0" xfId="0" applyFill="1" applyProtection="1">
      <protection locked="0"/>
    </xf>
    <xf numFmtId="0" fontId="20" fillId="6" borderId="15" xfId="0" applyFont="1" applyFill="1" applyBorder="1" applyAlignment="1">
      <alignment vertical="top" wrapText="1"/>
    </xf>
    <xf numFmtId="0" fontId="20" fillId="7" borderId="15" xfId="0" applyFont="1" applyFill="1" applyBorder="1" applyAlignment="1">
      <alignment vertical="top" wrapText="1"/>
    </xf>
    <xf numFmtId="8" fontId="23" fillId="6" borderId="15" xfId="0" applyNumberFormat="1" applyFont="1" applyFill="1" applyBorder="1" applyAlignment="1">
      <alignment horizontal="right" vertical="top" wrapText="1" indent="1"/>
    </xf>
    <xf numFmtId="0" fontId="11" fillId="0" borderId="0" xfId="1" applyBorder="1"/>
    <xf numFmtId="0" fontId="24" fillId="6" borderId="0" xfId="0" applyFont="1" applyFill="1" applyAlignment="1">
      <alignment horizontal="left" vertical="center" wrapText="1"/>
    </xf>
    <xf numFmtId="8" fontId="25" fillId="6" borderId="16" xfId="0" applyNumberFormat="1" applyFont="1" applyFill="1" applyBorder="1" applyAlignment="1">
      <alignment horizontal="left" vertical="center"/>
    </xf>
    <xf numFmtId="8" fontId="25" fillId="0" borderId="0" xfId="0" applyNumberFormat="1" applyFont="1"/>
    <xf numFmtId="0" fontId="11" fillId="0" borderId="0" xfId="1" applyAlignment="1">
      <alignment wrapText="1"/>
    </xf>
    <xf numFmtId="0" fontId="26" fillId="0" borderId="0" xfId="0" applyFont="1"/>
    <xf numFmtId="44" fontId="0" fillId="0" borderId="0" xfId="0" applyNumberFormat="1"/>
    <xf numFmtId="0" fontId="2" fillId="0" borderId="0" xfId="0" applyFont="1"/>
  </cellXfs>
  <cellStyles count="4">
    <cellStyle name="Currency" xfId="2" builtinId="4"/>
    <cellStyle name="Hyperlink" xfId="1" builtinId="8"/>
    <cellStyle name="Normal" xfId="0" builtinId="0"/>
    <cellStyle name="Normal 2" xfId="3" xr:uid="{4E79873A-36B8-41BF-9250-AAC359CF50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ouser.de/de/ProductDetail/YAGEO/CC0402KRX7R7BB393?qs=5q%252BqlK8CmJSJTmxHu%252BIslQ%3D%3D" TargetMode="External"/><Relationship Id="rId21" Type="http://schemas.openxmlformats.org/officeDocument/2006/relationships/hyperlink" Target="https://www.mouser.de/de/ProductDetail/Vishay-Vitramon/VJ1206A331JXAAT?qs=2M%252BU6H05pn89jvT56Cs8tw%3D%3D" TargetMode="External"/><Relationship Id="rId34" Type="http://schemas.openxmlformats.org/officeDocument/2006/relationships/hyperlink" Target="https://www.mouser.de/en/ProductDetail/Analog-Devices/HMC374SC70E?qs=pceeu5JH%2FH8aAWz5sXQxvw%3D%3D" TargetMode="External"/><Relationship Id="rId42" Type="http://schemas.openxmlformats.org/officeDocument/2006/relationships/hyperlink" Target="https://www.mouser.de/de/ProductDetail/TDK/MLG1005S7N5JTD25?qs=sGAEpiMZZMv126LJFLh8y5lwrxezZJ61Z8fnku%252Bx3%2Fc%3D" TargetMode="External"/><Relationship Id="rId47" Type="http://schemas.openxmlformats.org/officeDocument/2006/relationships/hyperlink" Target="https://www.mouser.de/en/ProductDetail/YAGEO/AC0603DRE0710KL?qs=r5DSvlrkXmKh6qngPzSakA%3D%3D" TargetMode="External"/><Relationship Id="rId50" Type="http://schemas.openxmlformats.org/officeDocument/2006/relationships/hyperlink" Target="https://www.mouser.de/en/ProductDetail/Vishay/CRCW060349K9FKEA?qs=sGAEpiMZZMtlubZbdhIBIJmUGkcQ%252B6arPfcrNu%252BeC3E%3D" TargetMode="External"/><Relationship Id="rId55" Type="http://schemas.openxmlformats.org/officeDocument/2006/relationships/hyperlink" Target="https://www.mouser.de/en/ProductDetail/Vishay/CRCW060326K7FKEA?qs=sGAEpiMZZMtlubZbdhIBIF%2FUFMPCPBt%252B22ahOeK2Npg%3D" TargetMode="External"/><Relationship Id="rId63" Type="http://schemas.openxmlformats.org/officeDocument/2006/relationships/hyperlink" Target="https://www.mouser.de/en/ProductDetail/Vishay/CRCW0402200RJNEE?qs=sGAEpiMZZMtlubZbdhIBIKbhzOdzan%2FG2jyuhm74noY%3D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https://www.mouser.de/de/ProductDetail/KYOCERA-AVX/TPSF157K010R0200?qs=%2FAyNC%2FU1o91Nx%252BUpVCohjg%3D%3D" TargetMode="External"/><Relationship Id="rId2" Type="http://schemas.openxmlformats.org/officeDocument/2006/relationships/hyperlink" Target="https://www.mouser.de/contact/" TargetMode="External"/><Relationship Id="rId16" Type="http://schemas.openxmlformats.org/officeDocument/2006/relationships/hyperlink" Target="https://www.mouser.de/de/ProductDetail/KYOCERA-AVX/0402YU2R4BAT2A?qs=ZwvTZoB9SO%2F9xc3E5Q%252BCrg%3D%3D" TargetMode="External"/><Relationship Id="rId29" Type="http://schemas.openxmlformats.org/officeDocument/2006/relationships/hyperlink" Target="https://www.mouser.de/de/ProductDetail/Murata-Electronics/GRM1555CYA103GE01J?qs=d0WKAl%252BL4KbA7gCogz12ew%3D%3D" TargetMode="External"/><Relationship Id="rId11" Type="http://schemas.openxmlformats.org/officeDocument/2006/relationships/hyperlink" Target="https://www.mouser.de/de/ProductDetail/Vishay-Vitramon/VJ0402D2R2BXCAJ?qs=sGAEpiMZZMsh%252B1woXyUXj2z2wRXEsjcw0y7O4esQ7qA%3D" TargetMode="External"/><Relationship Id="rId24" Type="http://schemas.openxmlformats.org/officeDocument/2006/relationships/hyperlink" Target="https://www.mouser.de/de/ProductDetail/KYOCERA-AVX/04023A1R0DAT2A?qs=FkeSXReRH1vgN2x1fywzxw%3D%3D" TargetMode="External"/><Relationship Id="rId32" Type="http://schemas.openxmlformats.org/officeDocument/2006/relationships/hyperlink" Target="https://www.mouser.de/en/ProductDetail/Johanson-Technology/2450BP08A0100T?qs=YCa%2FAAYMW02eslDA1%2Fi8Rw%3D%3D" TargetMode="External"/><Relationship Id="rId37" Type="http://schemas.openxmlformats.org/officeDocument/2006/relationships/hyperlink" Target="https://www.mouser.de/en/ProductDetail/Harwin/D01-9970642?qs=sGAEpiMZZMvlX3nhDDO4AJa%2Fj6AVBpVTpj3PX496rJs%3D" TargetMode="External"/><Relationship Id="rId40" Type="http://schemas.openxmlformats.org/officeDocument/2006/relationships/hyperlink" Target="https://www.mouser.de/de/ProductDetail/Bourns/CE0603M-27NH?qs=sGAEpiMZZMukHu%252BjC5l7YX4WR8T43ds6UJu4TX15Rrc%3D" TargetMode="External"/><Relationship Id="rId45" Type="http://schemas.openxmlformats.org/officeDocument/2006/relationships/hyperlink" Target="https://www.mouser.de/en/ProductDetail/YAGEO/AF0603FR-13100KL?qs=F5EMLAvA7IDemuDutB0AIQ%3D%3D" TargetMode="External"/><Relationship Id="rId53" Type="http://schemas.openxmlformats.org/officeDocument/2006/relationships/hyperlink" Target="https://www.mouser.de/en/ProductDetail/Vishay/CRCW040291R0FKEDHP?qs=sGAEpiMZZMtlubZbdhIBIP6K42uwgsNV2Roc04ms%252B2g%3D" TargetMode="External"/><Relationship Id="rId58" Type="http://schemas.openxmlformats.org/officeDocument/2006/relationships/hyperlink" Target="https://www.mouser.de/en/ProductDetail/YAGEO/RC0603JR-1351RL?qs=sGAEpiMZZMtlubZbdhIBIB%252BhUdDhMCO8QWy8fkP72NY%3D" TargetMode="External"/><Relationship Id="rId66" Type="http://schemas.openxmlformats.org/officeDocument/2006/relationships/hyperlink" Target="https://www.mouser.de/en/ProductDetail/Analog-Devices/LT3042MPMSEPBF?qs=oahfZPh6IAKb5Ne14xofIQ%3D%3D" TargetMode="External"/><Relationship Id="rId5" Type="http://schemas.openxmlformats.org/officeDocument/2006/relationships/hyperlink" Target="https://www.mouser.de/de/ProductDetail/YAGEO/CC0603MRX7R5BB475?qs=sGAEpiMZZMsh%252B1woXyUXj90%252Bz9elmv428DyDbLPeRqs%3D" TargetMode="External"/><Relationship Id="rId61" Type="http://schemas.openxmlformats.org/officeDocument/2006/relationships/hyperlink" Target="https://www.mouser.de/en/ProductDetail/Vishay/CRCW06034K70FKEA?qs=sGAEpiMZZMtlubZbdhIBIGYvcJJnxxxrQwDimOdk6Uk%3D" TargetMode="External"/><Relationship Id="rId19" Type="http://schemas.openxmlformats.org/officeDocument/2006/relationships/hyperlink" Target="https://www.mouser.de/de/ProductDetail/YAGEO/CC0402JPNPO9BN151?qs=tS%2FAHvPQ%2F54Y2RC7yI%252Bzfg%3D%3D" TargetMode="External"/><Relationship Id="rId14" Type="http://schemas.openxmlformats.org/officeDocument/2006/relationships/hyperlink" Target="https://www.mouser.de/de/ProductDetail/YAGEO/CC0402KRX5R8BB104?qs=KosDah%252BIqW%252Br%2Fi6bZws5wg%3D%3D" TargetMode="External"/><Relationship Id="rId22" Type="http://schemas.openxmlformats.org/officeDocument/2006/relationships/hyperlink" Target="https://www.mouser.de/de/ProductDetail/YAGEO/CC1206KFX5R7BB106?qs=mzRxyRlhVdtbHnIGelyb5g%3D%3D" TargetMode="External"/><Relationship Id="rId27" Type="http://schemas.openxmlformats.org/officeDocument/2006/relationships/hyperlink" Target="https://www.mouser.de/de/ProductDetail/YAGEO/AC0402KRX7R9BB122?qs=W0yvOO0ixfHbVYdJnLy%252BqQ%3D%3D" TargetMode="External"/><Relationship Id="rId30" Type="http://schemas.openxmlformats.org/officeDocument/2006/relationships/hyperlink" Target="https://www.mouser.de/de/ProductDetail/Bivar/SM0805GC?qs=umy9uXsUyyaRZQCOkrRsOQ%3D%3D" TargetMode="External"/><Relationship Id="rId35" Type="http://schemas.openxmlformats.org/officeDocument/2006/relationships/hyperlink" Target="https://www.mouser.de/de/ProductDetail/YAGEO/CQ0402FRNPO9BN100?qs=sGAEpiMZZMsh%252B1woXyUXj8PMfHfoZZHB%2F8QX5%252BC3Alo%3D" TargetMode="External"/><Relationship Id="rId43" Type="http://schemas.openxmlformats.org/officeDocument/2006/relationships/hyperlink" Target="https://www.mouser.de/de/ProductDetail/TDK/MLG1005S47NHT000?qs=sGAEpiMZZMv126LJFLh8y5lwrxezZJ61Cw%252BvSKJ%2FbYE%3D" TargetMode="External"/><Relationship Id="rId48" Type="http://schemas.openxmlformats.org/officeDocument/2006/relationships/hyperlink" Target="https://www.mouser.de/en/ProductDetail/Vishay/CRCW0603453KFKEAHP?qs=sGAEpiMZZMtlubZbdhIBIJYhLflKW0MlEWtBEvXG6cA%3D" TargetMode="External"/><Relationship Id="rId56" Type="http://schemas.openxmlformats.org/officeDocument/2006/relationships/hyperlink" Target="https://www.mouser.de/en/ProductDetail/YAGEO/RC0603DR-07150RL?qs=sGAEpiMZZMtlubZbdhIBILQ05lGUfKWADGs5P8kSCu0%3D" TargetMode="External"/><Relationship Id="rId64" Type="http://schemas.openxmlformats.org/officeDocument/2006/relationships/hyperlink" Target="https://www.mouser.de/en/ProductDetail/YAGEO/TR0603MR-07100RL?qs=sGAEpiMZZMtlubZbdhIBIKm0gsRX2fVkxqGV2hbQDAU%3D" TargetMode="External"/><Relationship Id="rId8" Type="http://schemas.openxmlformats.org/officeDocument/2006/relationships/hyperlink" Target="https://www.mouser.de/de/ProductDetail/KEMET/C0402T101J5GACTU?qs=u4fy%2FsgLU9PLUPqqcVgCTA%3D%3D" TargetMode="External"/><Relationship Id="rId51" Type="http://schemas.openxmlformats.org/officeDocument/2006/relationships/hyperlink" Target="https://www.mouser.de/en/ProductDetail/Vishay/TNPU0603150RBZEN00?qs=sGAEpiMZZMtlubZbdhIBIKF%2FTFcY2hSplK0rWYXdbsg%3D" TargetMode="External"/><Relationship Id="rId3" Type="http://schemas.openxmlformats.org/officeDocument/2006/relationships/hyperlink" Target="mailto:muenchen%40mouser.com" TargetMode="External"/><Relationship Id="rId12" Type="http://schemas.openxmlformats.org/officeDocument/2006/relationships/hyperlink" Target="https://www.mouser.de/de/ProductDetail/KYOCERA-AVX/04026W475MAT2A?qs=sGAEpiMZZMsh%252B1woXyUXjzY5digEXfcQJ8tiWZZJOtY%3D" TargetMode="External"/><Relationship Id="rId17" Type="http://schemas.openxmlformats.org/officeDocument/2006/relationships/hyperlink" Target="https://www.mouser.de/de/ProductDetail/KYOCERA-AVX/TRJC475K035RRJ?qs=utR%252BHFm0FzLRVcCCl%252BXb7w%3D%3D" TargetMode="External"/><Relationship Id="rId25" Type="http://schemas.openxmlformats.org/officeDocument/2006/relationships/hyperlink" Target="https://www.mouser.de/de/ProductDetail/YAGEO/AC0402KRX7R9BB272?qs=iHX4uCgIbgNWchYmcffrcg%3D%3D" TargetMode="External"/><Relationship Id="rId33" Type="http://schemas.openxmlformats.org/officeDocument/2006/relationships/hyperlink" Target="https://www.mouser.de/en/ProductDetail/Mini-Circuits/RMS-30%2b?qs=Znm5pLBrcAIBkcPltAJrPg%3D%3D" TargetMode="External"/><Relationship Id="rId38" Type="http://schemas.openxmlformats.org/officeDocument/2006/relationships/hyperlink" Target="https://www.mouser.de/en/ProductDetail/Harwin/D01-9970342?qs=sGAEpiMZZMvlX3nhDDO4AJa%2Fj6AVBpVTHWw28pc3HUc%3D" TargetMode="External"/><Relationship Id="rId46" Type="http://schemas.openxmlformats.org/officeDocument/2006/relationships/hyperlink" Target="https://www.mouser.de/en/ProductDetail/Vishay-Dale/TNPU06031K00AYEA00?qs=6Iix%252B7vYeyom8fpR%2FboP3Q%3D%3D" TargetMode="External"/><Relationship Id="rId59" Type="http://schemas.openxmlformats.org/officeDocument/2006/relationships/hyperlink" Target="https://www.mouser.de/en/ProductDetail/Vishay/TNPW0603680RDEEA?qs=sGAEpiMZZMtlubZbdhIBIJ4TnNIQvYE7VYN5qx0sPT8%3D" TargetMode="External"/><Relationship Id="rId67" Type="http://schemas.openxmlformats.org/officeDocument/2006/relationships/hyperlink" Target="https://www.mouser.de/en/ProductDetail/Analog-Devices/ADF4351BCPZ?qs=BpaRKvA4VqFCiUOrGPcIQw%3D%3D" TargetMode="External"/><Relationship Id="rId20" Type="http://schemas.openxmlformats.org/officeDocument/2006/relationships/hyperlink" Target="https://www.mouser.de/de/ProductDetail/KYOCERA-AVX/06035C331M4T2A?qs=ZBeOGGPQgEHm0YWrnTdMuA%3D%3D" TargetMode="External"/><Relationship Id="rId41" Type="http://schemas.openxmlformats.org/officeDocument/2006/relationships/hyperlink" Target="https://www.mouser.de/de/ProductDetail/TDK/MLG1005S12NHT000?qs=sGAEpiMZZMv126LJFLh8y5lwrxezZJ61LKcwM8yM6hA%3D" TargetMode="External"/><Relationship Id="rId54" Type="http://schemas.openxmlformats.org/officeDocument/2006/relationships/hyperlink" Target="https://www.mouser.de/en/ProductDetail/Vishay/CRCW06030000Z0TAHP?qs=sGAEpiMZZMtlubZbdhIBIClVFK%252BqTFBgYSL1FIXE4rc%3D" TargetMode="External"/><Relationship Id="rId62" Type="http://schemas.openxmlformats.org/officeDocument/2006/relationships/hyperlink" Target="https://www.mouser.de/en/ProductDetail/Vishay-Draloric/RCA0402100RJNED?qs=sGAEpiMZZMtlubZbdhIBICkZD26Dv0dBhi8d2PK2%252B2A%3D" TargetMode="External"/><Relationship Id="rId1" Type="http://schemas.openxmlformats.org/officeDocument/2006/relationships/hyperlink" Target="https://www.mouser.de/contact/" TargetMode="External"/><Relationship Id="rId6" Type="http://schemas.openxmlformats.org/officeDocument/2006/relationships/hyperlink" Target="https://www.mouser.de/de/ProductDetail/YAGEO/CC0603KRX7R9BB104?qs=vTakOoo5QyLvVCYM2ge8LQ%3D%3D" TargetMode="External"/><Relationship Id="rId15" Type="http://schemas.openxmlformats.org/officeDocument/2006/relationships/hyperlink" Target="https://www.mouser.de/de/ProductDetail/Murata-Electronics/GCM1555C1H3R2CA16D?qs=b6dFT0v%2Fxb9um9LTQ3aBBQ%3D%3D" TargetMode="External"/><Relationship Id="rId23" Type="http://schemas.openxmlformats.org/officeDocument/2006/relationships/hyperlink" Target="https://www.mouser.de/de/ProductDetail/YAGEO/CC0402KRX7R7BB104?qs=AgBp2OyFlx%252BSOyhfyS7hpw%3D%3D" TargetMode="External"/><Relationship Id="rId28" Type="http://schemas.openxmlformats.org/officeDocument/2006/relationships/hyperlink" Target="https://www.mouser.de/de/ProductDetail/Vishay-Sprague/VJ0402A121JXAAC?qs=3Pj1lnMdkfqiKcr%252BAQDyOQ%3D%3D" TargetMode="External"/><Relationship Id="rId36" Type="http://schemas.openxmlformats.org/officeDocument/2006/relationships/hyperlink" Target="https://www.mouser.de/en/ProductDetail/Amphenol-RF/901-10309?qs=OWKQh20chuqRtazHxMcApw%3D%3D" TargetMode="External"/><Relationship Id="rId49" Type="http://schemas.openxmlformats.org/officeDocument/2006/relationships/hyperlink" Target="https://www.mouser.de/en/ProductDetail/YAGEO/RT0603FRD07499KL?qs=sGAEpiMZZMtlubZbdhIBIN5%2FhIkCOeWA%2FrNUQtkP4jk%3D" TargetMode="External"/><Relationship Id="rId57" Type="http://schemas.openxmlformats.org/officeDocument/2006/relationships/hyperlink" Target="https://www.mouser.de/en/ProductDetail/YAGEO/TR0603MR-07100RL?qs=sGAEpiMZZMtlubZbdhIBIKm0gsRX2fVkxqGV2hbQDAU%3D" TargetMode="External"/><Relationship Id="rId10" Type="http://schemas.openxmlformats.org/officeDocument/2006/relationships/hyperlink" Target="https://www.mouser.de/de/ProductDetail/TDK/C0402X7R1A102K020BC?qs=Zt%252BKPUOg4oeVeDoDR%252BkQnw%3D%3D" TargetMode="External"/><Relationship Id="rId31" Type="http://schemas.openxmlformats.org/officeDocument/2006/relationships/hyperlink" Target="https://www.mouser.de/de/ProductDetail/VCC/LSM0805412V?qs=T3oQrply3y%2F3hzU4lskNyg%3D%3D" TargetMode="External"/><Relationship Id="rId44" Type="http://schemas.openxmlformats.org/officeDocument/2006/relationships/hyperlink" Target="https://www.mouser.de/en/ProductDetail/onsemi/2N7002?qs=0dwsXDNhqlz66WJJhrTFjQ%3D%3D" TargetMode="External"/><Relationship Id="rId52" Type="http://schemas.openxmlformats.org/officeDocument/2006/relationships/hyperlink" Target="https://www.mouser.de/en/ProductDetail/Vishay/CRCW060333K2FKTA?qs=sGAEpiMZZMtlubZbdhIBIA1gxHQ7YFaKmt381sz5JoQ%3D" TargetMode="External"/><Relationship Id="rId60" Type="http://schemas.openxmlformats.org/officeDocument/2006/relationships/hyperlink" Target="https://www.mouser.de/en/ProductDetail/Vishay/TNPW0603360RFHEA?qs=sGAEpiMZZMtlubZbdhIBIONtIqra%2FA5YYH6rhdCsqQw%3D" TargetMode="External"/><Relationship Id="rId65" Type="http://schemas.openxmlformats.org/officeDocument/2006/relationships/hyperlink" Target="https://www.mouser.de/en/ProductDetail/YAGEO/RT0603BRD0750KL?qs=sGAEpiMZZMtlubZbdhIBIEgN9MQql2m6ewcteVFRdgU%3D" TargetMode="External"/><Relationship Id="rId4" Type="http://schemas.openxmlformats.org/officeDocument/2006/relationships/hyperlink" Target="https://www.mouser.de/de/ProductDetail/YAGEO/CC0603KRX7R9BB104?qs=sGAEpiMZZMukHu%252BjC5l7YUrFUWXVLUy60Yaemy%252Bs3II%3D" TargetMode="External"/><Relationship Id="rId9" Type="http://schemas.openxmlformats.org/officeDocument/2006/relationships/hyperlink" Target="https://www.mouser.de/de/ProductDetail/KYOCERA-AVX/CM03X5R105M06AH?qs=rkhjVJ6%2F3ELzWF91DLscGA%3D%3D" TargetMode="External"/><Relationship Id="rId13" Type="http://schemas.openxmlformats.org/officeDocument/2006/relationships/hyperlink" Target="https://www.mouser.de/de/ProductDetail/Vishay-Vitramon/VJ0402D150FXCAJ?qs=sGAEpiMZZMsh%252B1woXyUXj2z2wRXEsjcwemUAQOVhQ3A%3D" TargetMode="External"/><Relationship Id="rId18" Type="http://schemas.openxmlformats.org/officeDocument/2006/relationships/hyperlink" Target="https://www.mouser.de/de/ProductDetail/Vishay-Vitramon/VJ0603Y102MXAAC?qs=tKBoUWxeOJbblqoMJ9HNGg%3D%3D" TargetMode="External"/><Relationship Id="rId39" Type="http://schemas.openxmlformats.org/officeDocument/2006/relationships/hyperlink" Target="https://www.mouser.de/en/ProductDetail/Samtec/DW-01-07-T-S-200?qs=sGAEpiMZZMvlX3nhDDO4AOl4VJGJbPMjzsv6EE9m9ow%3D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u.support@digikey.com" TargetMode="External"/><Relationship Id="rId2" Type="http://schemas.openxmlformats.org/officeDocument/2006/relationships/hyperlink" Target="https://www.digikey.de/de/products/detail/skyworks-solutions-inc/SKY16602-632LF/4959401?s=N4IgTCBcDaIMoGkCaBGAbGgDGAtGgzGADIBiIAugL5A" TargetMode="External"/><Relationship Id="rId1" Type="http://schemas.openxmlformats.org/officeDocument/2006/relationships/hyperlink" Target="https://www.mouser.de/contact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weylan-d.com/goods/detail/431180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F113"/>
  <sheetViews>
    <sheetView zoomScale="115" zoomScaleNormal="115" workbookViewId="0">
      <selection activeCell="H13" sqref="H13"/>
    </sheetView>
  </sheetViews>
  <sheetFormatPr defaultColWidth="11.5703125" defaultRowHeight="12.75" x14ac:dyDescent="0.2"/>
  <cols>
    <col min="1" max="1" width="11.5703125" customWidth="1"/>
    <col min="2" max="2" width="25.28515625" customWidth="1"/>
    <col min="3" max="3" width="106.28515625" customWidth="1"/>
    <col min="4" max="4" width="18" customWidth="1"/>
    <col min="5" max="5" width="16.5703125" customWidth="1"/>
    <col min="6" max="6" width="26.28515625" customWidth="1"/>
  </cols>
  <sheetData>
    <row r="1" spans="1:5" ht="4.5" customHeight="1" x14ac:dyDescent="0.2">
      <c r="C1" s="11"/>
    </row>
    <row r="2" spans="1:5" ht="20.25" x14ac:dyDescent="0.3">
      <c r="A2" s="5" t="s">
        <v>11</v>
      </c>
      <c r="C2" s="11"/>
    </row>
    <row r="3" spans="1:5" ht="15.75" x14ac:dyDescent="0.25">
      <c r="A3" s="1" t="s">
        <v>22</v>
      </c>
      <c r="B3" s="4"/>
      <c r="C3" s="29" t="s">
        <v>25</v>
      </c>
    </row>
    <row r="4" spans="1:5" ht="15.75" x14ac:dyDescent="0.25">
      <c r="A4" s="1" t="s">
        <v>23</v>
      </c>
      <c r="C4" s="3" t="s">
        <v>26</v>
      </c>
    </row>
    <row r="5" spans="1:5" ht="15.75" x14ac:dyDescent="0.25">
      <c r="A5" s="1" t="s">
        <v>3</v>
      </c>
      <c r="B5" s="3"/>
      <c r="C5" s="3" t="s">
        <v>27</v>
      </c>
    </row>
    <row r="6" spans="1:5" ht="15.75" x14ac:dyDescent="0.25">
      <c r="A6" s="1" t="s">
        <v>24</v>
      </c>
      <c r="B6" s="3"/>
      <c r="C6" s="3" t="s">
        <v>28</v>
      </c>
    </row>
    <row r="7" spans="1:5" ht="15.75" x14ac:dyDescent="0.25">
      <c r="A7" s="1"/>
      <c r="C7" s="11"/>
      <c r="E7" s="7"/>
    </row>
    <row r="8" spans="1:5" ht="15.75" x14ac:dyDescent="0.25">
      <c r="A8" s="1" t="s">
        <v>14</v>
      </c>
      <c r="C8" s="3" t="s">
        <v>29</v>
      </c>
      <c r="E8" s="7"/>
    </row>
    <row r="9" spans="1:5" ht="20.25" x14ac:dyDescent="0.3">
      <c r="A9" s="1" t="s">
        <v>6</v>
      </c>
      <c r="B9" s="5"/>
      <c r="C9" s="12"/>
      <c r="E9" s="7"/>
    </row>
    <row r="10" spans="1:5" ht="20.25" x14ac:dyDescent="0.3">
      <c r="A10" s="1"/>
      <c r="B10" s="5"/>
      <c r="C10" s="11"/>
      <c r="D10" s="9"/>
      <c r="E10" s="7"/>
    </row>
    <row r="11" spans="1:5" ht="20.25" x14ac:dyDescent="0.3">
      <c r="A11" s="10" t="s">
        <v>13</v>
      </c>
      <c r="B11" s="5"/>
      <c r="C11" s="11"/>
      <c r="D11" s="9"/>
      <c r="E11" s="7"/>
    </row>
    <row r="12" spans="1:5" ht="15.75" x14ac:dyDescent="0.25">
      <c r="A12" s="1" t="s">
        <v>8</v>
      </c>
      <c r="C12" s="13"/>
      <c r="E12" s="8"/>
    </row>
    <row r="13" spans="1:5" ht="15.75" x14ac:dyDescent="0.25">
      <c r="A13" s="1" t="s">
        <v>9</v>
      </c>
      <c r="B13" s="2"/>
      <c r="C13" s="13"/>
      <c r="E13" s="7"/>
    </row>
    <row r="14" spans="1:5" ht="15.75" x14ac:dyDescent="0.25">
      <c r="A14" s="1" t="s">
        <v>15</v>
      </c>
      <c r="C14" s="13"/>
      <c r="E14" s="7"/>
    </row>
    <row r="15" spans="1:5" ht="15.75" x14ac:dyDescent="0.25">
      <c r="A15" s="1"/>
      <c r="C15" s="11"/>
      <c r="E15" s="7"/>
    </row>
    <row r="16" spans="1:5" ht="18" x14ac:dyDescent="0.25">
      <c r="A16" s="10" t="s">
        <v>12</v>
      </c>
      <c r="C16" s="11"/>
      <c r="E16" s="8"/>
    </row>
    <row r="17" spans="1:6" ht="15.75" x14ac:dyDescent="0.25">
      <c r="A17" s="1" t="s">
        <v>4</v>
      </c>
      <c r="C17" s="30" t="s">
        <v>30</v>
      </c>
      <c r="E17" s="7"/>
    </row>
    <row r="18" spans="1:6" ht="15.75" x14ac:dyDescent="0.25">
      <c r="A18" s="1" t="s">
        <v>16</v>
      </c>
      <c r="C18" s="30" t="s">
        <v>32</v>
      </c>
      <c r="D18" s="9"/>
      <c r="E18" s="7"/>
    </row>
    <row r="19" spans="1:6" ht="15.75" x14ac:dyDescent="0.25">
      <c r="A19" s="1" t="s">
        <v>20</v>
      </c>
      <c r="C19" s="30" t="s">
        <v>31</v>
      </c>
      <c r="D19" s="9"/>
      <c r="E19" s="7"/>
    </row>
    <row r="20" spans="1:6" ht="15.75" x14ac:dyDescent="0.25">
      <c r="A20" s="1"/>
      <c r="C20" s="11"/>
      <c r="D20" s="9"/>
      <c r="E20" s="7"/>
    </row>
    <row r="21" spans="1:6" ht="13.5" thickBot="1" x14ac:dyDescent="0.25">
      <c r="D21" s="9" t="s">
        <v>10</v>
      </c>
      <c r="E21" s="7"/>
    </row>
    <row r="22" spans="1:6" ht="15" x14ac:dyDescent="0.2">
      <c r="A22" s="6" t="s">
        <v>7</v>
      </c>
      <c r="B22" s="6" t="s">
        <v>0</v>
      </c>
      <c r="C22" s="6" t="s">
        <v>1</v>
      </c>
      <c r="D22" s="6" t="s">
        <v>5</v>
      </c>
      <c r="E22" s="24" t="s">
        <v>2</v>
      </c>
      <c r="F22" s="28" t="s">
        <v>21</v>
      </c>
    </row>
    <row r="23" spans="1:6" ht="15" x14ac:dyDescent="0.25">
      <c r="A23" s="14">
        <v>5</v>
      </c>
      <c r="B23" s="3" t="s">
        <v>35</v>
      </c>
      <c r="C23" s="31" t="s">
        <v>36</v>
      </c>
      <c r="D23" s="32">
        <v>0.20599999999999999</v>
      </c>
      <c r="E23" s="25">
        <f t="shared" ref="E23:E63" si="0">A23*D23</f>
        <v>1.03</v>
      </c>
      <c r="F23" s="26"/>
    </row>
    <row r="24" spans="1:6" ht="15" x14ac:dyDescent="0.25">
      <c r="A24" s="14">
        <v>10</v>
      </c>
      <c r="B24" s="3" t="s">
        <v>37</v>
      </c>
      <c r="C24" s="31" t="s">
        <v>38</v>
      </c>
      <c r="D24" s="32">
        <v>0.46400000000000002</v>
      </c>
      <c r="E24" s="25">
        <f t="shared" si="0"/>
        <v>4.6400000000000006</v>
      </c>
      <c r="F24" s="26"/>
    </row>
    <row r="25" spans="1:6" ht="15" x14ac:dyDescent="0.25">
      <c r="A25" s="14">
        <v>5</v>
      </c>
      <c r="B25" s="3" t="s">
        <v>33</v>
      </c>
      <c r="C25" s="31" t="s">
        <v>34</v>
      </c>
      <c r="D25" s="32">
        <v>8.5999999999999993E-2</v>
      </c>
      <c r="E25" s="25">
        <f t="shared" si="0"/>
        <v>0.42999999999999994</v>
      </c>
      <c r="F25" s="26"/>
    </row>
    <row r="26" spans="1:6" ht="15" x14ac:dyDescent="0.25">
      <c r="A26" s="14">
        <v>5</v>
      </c>
      <c r="B26" s="3" t="s">
        <v>39</v>
      </c>
      <c r="C26" s="31" t="s">
        <v>40</v>
      </c>
      <c r="D26" s="32">
        <v>2.82</v>
      </c>
      <c r="E26" s="25">
        <f t="shared" si="0"/>
        <v>14.1</v>
      </c>
      <c r="F26" s="26"/>
    </row>
    <row r="27" spans="1:6" ht="15" x14ac:dyDescent="0.25">
      <c r="A27" s="14">
        <v>20</v>
      </c>
      <c r="B27" s="3" t="s">
        <v>118</v>
      </c>
      <c r="C27" s="42" t="s">
        <v>119</v>
      </c>
      <c r="D27" s="44">
        <v>0.16300000000000001</v>
      </c>
      <c r="E27" s="25">
        <f t="shared" si="0"/>
        <v>3.2600000000000002</v>
      </c>
      <c r="F27" s="26"/>
    </row>
    <row r="28" spans="1:6" ht="15" x14ac:dyDescent="0.25">
      <c r="A28" s="14">
        <v>12</v>
      </c>
      <c r="B28" s="3" t="s">
        <v>41</v>
      </c>
      <c r="C28" s="31" t="s">
        <v>42</v>
      </c>
      <c r="D28" s="32">
        <v>0.78300000000000003</v>
      </c>
      <c r="E28" s="25">
        <f t="shared" si="0"/>
        <v>9.3960000000000008</v>
      </c>
      <c r="F28" s="26"/>
    </row>
    <row r="29" spans="1:6" ht="15" x14ac:dyDescent="0.25">
      <c r="A29" s="14">
        <v>5</v>
      </c>
      <c r="B29" s="3" t="s">
        <v>44</v>
      </c>
      <c r="C29" s="31" t="s">
        <v>43</v>
      </c>
      <c r="D29" s="32">
        <v>9.5000000000000001E-2</v>
      </c>
      <c r="E29" s="25">
        <f t="shared" si="0"/>
        <v>0.47499999999999998</v>
      </c>
      <c r="F29" s="26"/>
    </row>
    <row r="30" spans="1:6" ht="15" x14ac:dyDescent="0.25">
      <c r="A30" s="14">
        <v>10</v>
      </c>
      <c r="B30" s="3" t="s">
        <v>45</v>
      </c>
      <c r="C30" s="31" t="s">
        <v>46</v>
      </c>
      <c r="D30" s="32">
        <v>0.129</v>
      </c>
      <c r="E30" s="25">
        <f t="shared" si="0"/>
        <v>1.29</v>
      </c>
      <c r="F30" s="26"/>
    </row>
    <row r="31" spans="1:6" ht="15" x14ac:dyDescent="0.25">
      <c r="A31" s="14">
        <v>5</v>
      </c>
      <c r="B31" s="3" t="s">
        <v>47</v>
      </c>
      <c r="C31" s="31" t="s">
        <v>48</v>
      </c>
      <c r="D31" s="32">
        <v>0.57599999999999996</v>
      </c>
      <c r="E31" s="25">
        <f t="shared" si="0"/>
        <v>2.88</v>
      </c>
      <c r="F31" s="26"/>
    </row>
    <row r="32" spans="1:6" ht="15" x14ac:dyDescent="0.25">
      <c r="A32" s="14">
        <v>5</v>
      </c>
      <c r="B32" s="3" t="s">
        <v>49</v>
      </c>
      <c r="C32" s="31" t="s">
        <v>50</v>
      </c>
      <c r="D32" s="32">
        <v>0.33500000000000002</v>
      </c>
      <c r="E32" s="25">
        <f t="shared" si="0"/>
        <v>1.675</v>
      </c>
      <c r="F32" s="26"/>
    </row>
    <row r="33" spans="1:6" ht="15" x14ac:dyDescent="0.25">
      <c r="A33" s="14">
        <v>5</v>
      </c>
      <c r="B33" s="3" t="s">
        <v>52</v>
      </c>
      <c r="C33" s="31" t="s">
        <v>51</v>
      </c>
      <c r="D33" s="32">
        <v>0.55900000000000005</v>
      </c>
      <c r="E33" s="25">
        <f t="shared" si="0"/>
        <v>2.7950000000000004</v>
      </c>
      <c r="F33" s="26"/>
    </row>
    <row r="34" spans="1:6" ht="15" x14ac:dyDescent="0.25">
      <c r="A34" s="14">
        <v>5</v>
      </c>
      <c r="B34" s="3" t="s">
        <v>54</v>
      </c>
      <c r="C34" s="31" t="s">
        <v>53</v>
      </c>
      <c r="D34" s="32">
        <v>8.5999999999999993E-2</v>
      </c>
      <c r="E34" s="25">
        <f t="shared" si="0"/>
        <v>0.42999999999999994</v>
      </c>
      <c r="F34" s="26"/>
    </row>
    <row r="35" spans="1:6" ht="15" x14ac:dyDescent="0.25">
      <c r="A35" s="14">
        <v>5</v>
      </c>
      <c r="B35" s="3" t="s">
        <v>56</v>
      </c>
      <c r="C35" s="31" t="s">
        <v>55</v>
      </c>
      <c r="D35" s="32">
        <v>0.129</v>
      </c>
      <c r="E35" s="25">
        <f t="shared" si="0"/>
        <v>0.64500000000000002</v>
      </c>
      <c r="F35" s="26"/>
    </row>
    <row r="36" spans="1:6" ht="15" x14ac:dyDescent="0.25">
      <c r="A36" s="14">
        <v>10</v>
      </c>
      <c r="B36" s="3" t="s">
        <v>57</v>
      </c>
      <c r="C36" s="31" t="s">
        <v>58</v>
      </c>
      <c r="D36" s="32">
        <v>0.12</v>
      </c>
      <c r="E36" s="25">
        <f t="shared" si="0"/>
        <v>1.2</v>
      </c>
      <c r="F36" s="26"/>
    </row>
    <row r="37" spans="1:6" ht="15" x14ac:dyDescent="0.25">
      <c r="A37" s="14">
        <v>5</v>
      </c>
      <c r="B37" s="3" t="s">
        <v>59</v>
      </c>
      <c r="C37" s="31" t="s">
        <v>60</v>
      </c>
      <c r="D37" s="32">
        <v>0.90300000000000002</v>
      </c>
      <c r="E37" s="25">
        <f t="shared" si="0"/>
        <v>4.5150000000000006</v>
      </c>
      <c r="F37" s="26"/>
    </row>
    <row r="38" spans="1:6" ht="15" x14ac:dyDescent="0.25">
      <c r="A38" s="14">
        <v>5</v>
      </c>
      <c r="B38" s="3" t="s">
        <v>61</v>
      </c>
      <c r="C38" s="31" t="s">
        <v>62</v>
      </c>
      <c r="D38" s="32">
        <v>0.17199999999999999</v>
      </c>
      <c r="E38" s="25">
        <f t="shared" si="0"/>
        <v>0.85999999999999988</v>
      </c>
      <c r="F38" s="26"/>
    </row>
    <row r="39" spans="1:6" ht="15" x14ac:dyDescent="0.25">
      <c r="A39" s="14">
        <v>10</v>
      </c>
      <c r="B39" s="3" t="s">
        <v>63</v>
      </c>
      <c r="C39" s="31" t="s">
        <v>64</v>
      </c>
      <c r="D39" s="32">
        <v>8.5999999999999993E-2</v>
      </c>
      <c r="E39" s="25">
        <f t="shared" si="0"/>
        <v>0.85999999999999988</v>
      </c>
      <c r="F39" s="26"/>
    </row>
    <row r="40" spans="1:6" ht="15" x14ac:dyDescent="0.25">
      <c r="A40" s="14">
        <v>5</v>
      </c>
      <c r="B40" s="3" t="s">
        <v>65</v>
      </c>
      <c r="C40" s="31" t="s">
        <v>66</v>
      </c>
      <c r="D40" s="32">
        <v>0.20599999999999999</v>
      </c>
      <c r="E40" s="25">
        <f t="shared" si="0"/>
        <v>1.03</v>
      </c>
      <c r="F40" s="26"/>
    </row>
    <row r="41" spans="1:6" ht="15" x14ac:dyDescent="0.25">
      <c r="A41" s="14">
        <v>5</v>
      </c>
      <c r="B41" s="3" t="s">
        <v>67</v>
      </c>
      <c r="C41" s="31" t="s">
        <v>68</v>
      </c>
      <c r="D41" s="32">
        <v>0.318</v>
      </c>
      <c r="E41" s="25">
        <f t="shared" si="0"/>
        <v>1.59</v>
      </c>
      <c r="F41" s="26"/>
    </row>
    <row r="42" spans="1:6" ht="15" x14ac:dyDescent="0.25">
      <c r="A42" s="14">
        <v>5</v>
      </c>
      <c r="B42" s="3" t="s">
        <v>69</v>
      </c>
      <c r="C42" s="31" t="s">
        <v>70</v>
      </c>
      <c r="D42" s="32">
        <v>0.40400000000000003</v>
      </c>
      <c r="E42" s="25">
        <f t="shared" si="0"/>
        <v>2.02</v>
      </c>
      <c r="F42" s="26"/>
    </row>
    <row r="43" spans="1:6" ht="15" x14ac:dyDescent="0.25">
      <c r="A43" s="14">
        <v>25</v>
      </c>
      <c r="B43" s="3" t="s">
        <v>71</v>
      </c>
      <c r="C43" s="31" t="s">
        <v>72</v>
      </c>
      <c r="D43" s="32">
        <v>8.5999999999999993E-2</v>
      </c>
      <c r="E43" s="25">
        <f t="shared" si="0"/>
        <v>2.15</v>
      </c>
      <c r="F43" s="26"/>
    </row>
    <row r="44" spans="1:6" ht="15" x14ac:dyDescent="0.25">
      <c r="A44" s="14">
        <v>5</v>
      </c>
      <c r="B44" s="3" t="s">
        <v>73</v>
      </c>
      <c r="C44" s="31" t="s">
        <v>74</v>
      </c>
      <c r="D44" s="32">
        <v>0.155</v>
      </c>
      <c r="E44" s="25">
        <f t="shared" si="0"/>
        <v>0.77500000000000002</v>
      </c>
      <c r="F44" s="26"/>
    </row>
    <row r="45" spans="1:6" ht="15" x14ac:dyDescent="0.25">
      <c r="A45" s="14">
        <v>5</v>
      </c>
      <c r="B45" s="3" t="s">
        <v>75</v>
      </c>
      <c r="C45" s="31" t="s">
        <v>76</v>
      </c>
      <c r="D45" s="32">
        <v>8.5999999999999993E-2</v>
      </c>
      <c r="E45" s="25">
        <f t="shared" si="0"/>
        <v>0.42999999999999994</v>
      </c>
      <c r="F45" s="26"/>
    </row>
    <row r="46" spans="1:6" ht="15" x14ac:dyDescent="0.25">
      <c r="A46" s="14">
        <v>5</v>
      </c>
      <c r="B46" s="3" t="s">
        <v>77</v>
      </c>
      <c r="C46" s="31" t="s">
        <v>78</v>
      </c>
      <c r="D46" s="32">
        <v>8.5999999999999993E-2</v>
      </c>
      <c r="E46" s="25">
        <f t="shared" si="0"/>
        <v>0.42999999999999994</v>
      </c>
      <c r="F46" s="26"/>
    </row>
    <row r="47" spans="1:6" ht="15" x14ac:dyDescent="0.25">
      <c r="A47" s="14">
        <v>5</v>
      </c>
      <c r="B47" s="3" t="s">
        <v>79</v>
      </c>
      <c r="C47" s="31" t="s">
        <v>80</v>
      </c>
      <c r="D47" s="32">
        <v>8.5999999999999993E-2</v>
      </c>
      <c r="E47" s="25">
        <f t="shared" si="0"/>
        <v>0.42999999999999994</v>
      </c>
      <c r="F47" s="26"/>
    </row>
    <row r="48" spans="1:6" ht="15" x14ac:dyDescent="0.25">
      <c r="A48" s="15">
        <v>5</v>
      </c>
      <c r="B48" s="3" t="s">
        <v>81</v>
      </c>
      <c r="C48" s="31" t="s">
        <v>82</v>
      </c>
      <c r="D48" s="32">
        <v>0.32700000000000001</v>
      </c>
      <c r="E48" s="25">
        <f t="shared" si="0"/>
        <v>1.635</v>
      </c>
      <c r="F48" s="27"/>
    </row>
    <row r="49" spans="1:6" ht="15" x14ac:dyDescent="0.25">
      <c r="A49" s="16"/>
      <c r="B49" s="16"/>
      <c r="C49" s="16"/>
      <c r="D49" s="17"/>
      <c r="E49" s="25">
        <f t="shared" si="0"/>
        <v>0</v>
      </c>
      <c r="F49" s="27"/>
    </row>
    <row r="50" spans="1:6" ht="15" x14ac:dyDescent="0.25">
      <c r="A50" s="16">
        <v>5</v>
      </c>
      <c r="B50" s="3" t="s">
        <v>83</v>
      </c>
      <c r="C50" s="31" t="s">
        <v>84</v>
      </c>
      <c r="D50" s="32">
        <v>0.13800000000000001</v>
      </c>
      <c r="E50" s="25">
        <f t="shared" si="0"/>
        <v>0.69000000000000006</v>
      </c>
      <c r="F50" s="27"/>
    </row>
    <row r="51" spans="1:6" ht="15.75" x14ac:dyDescent="0.25">
      <c r="A51" s="33">
        <v>3</v>
      </c>
      <c r="B51" t="s">
        <v>213</v>
      </c>
      <c r="C51" s="46" t="s">
        <v>214</v>
      </c>
      <c r="D51" s="47">
        <v>0.20599999999999999</v>
      </c>
      <c r="E51" s="25">
        <f t="shared" si="0"/>
        <v>0.61799999999999999</v>
      </c>
    </row>
    <row r="52" spans="1:6" ht="15" x14ac:dyDescent="0.25">
      <c r="A52" s="33">
        <v>6</v>
      </c>
      <c r="B52" s="3" t="s">
        <v>85</v>
      </c>
      <c r="C52" s="31" t="s">
        <v>86</v>
      </c>
      <c r="D52" s="32">
        <v>0.86899999999999999</v>
      </c>
      <c r="E52" s="25">
        <f t="shared" si="0"/>
        <v>5.2140000000000004</v>
      </c>
    </row>
    <row r="53" spans="1:6" ht="15" x14ac:dyDescent="0.25">
      <c r="A53" s="33">
        <v>5</v>
      </c>
      <c r="B53" s="3" t="s">
        <v>87</v>
      </c>
      <c r="C53" s="31" t="s">
        <v>88</v>
      </c>
      <c r="D53" s="32">
        <v>0.27500000000000002</v>
      </c>
      <c r="E53" s="25">
        <f t="shared" si="0"/>
        <v>1.375</v>
      </c>
    </row>
    <row r="54" spans="1:6" ht="15" x14ac:dyDescent="0.25">
      <c r="A54" s="33">
        <v>2</v>
      </c>
      <c r="B54" t="s">
        <v>91</v>
      </c>
      <c r="C54" s="36" t="s">
        <v>92</v>
      </c>
      <c r="D54" s="37">
        <v>1.1399999999999999</v>
      </c>
      <c r="E54" s="25">
        <f t="shared" si="0"/>
        <v>2.2799999999999998</v>
      </c>
      <c r="F54" t="s">
        <v>93</v>
      </c>
    </row>
    <row r="55" spans="1:6" ht="15" x14ac:dyDescent="0.25">
      <c r="A55" s="33">
        <v>5</v>
      </c>
      <c r="B55" s="38" t="s">
        <v>94</v>
      </c>
      <c r="C55" s="36" t="s">
        <v>95</v>
      </c>
      <c r="D55" s="37">
        <v>8.5999999999999993E-2</v>
      </c>
      <c r="E55" s="25">
        <f t="shared" si="0"/>
        <v>0.42999999999999994</v>
      </c>
      <c r="F55" t="s">
        <v>96</v>
      </c>
    </row>
    <row r="56" spans="1:6" ht="15" x14ac:dyDescent="0.25">
      <c r="A56" s="33">
        <v>5</v>
      </c>
      <c r="B56" s="52" t="s">
        <v>97</v>
      </c>
      <c r="C56" s="31" t="s">
        <v>98</v>
      </c>
      <c r="D56" s="32">
        <v>0.52500000000000002</v>
      </c>
      <c r="E56" s="25">
        <f t="shared" si="0"/>
        <v>2.625</v>
      </c>
    </row>
    <row r="57" spans="1:6" ht="15" x14ac:dyDescent="0.25">
      <c r="A57" s="33">
        <v>1</v>
      </c>
      <c r="B57" t="s">
        <v>99</v>
      </c>
      <c r="C57" s="36" t="s">
        <v>100</v>
      </c>
      <c r="D57" s="37">
        <v>20.92</v>
      </c>
      <c r="E57" s="25">
        <f t="shared" si="0"/>
        <v>20.92</v>
      </c>
    </row>
    <row r="58" spans="1:6" ht="15" x14ac:dyDescent="0.25">
      <c r="A58" s="33"/>
      <c r="B58" s="35"/>
      <c r="C58" s="36"/>
      <c r="D58" s="37"/>
      <c r="E58" s="25">
        <f t="shared" si="0"/>
        <v>0</v>
      </c>
    </row>
    <row r="59" spans="1:6" ht="15" x14ac:dyDescent="0.25">
      <c r="A59" s="33">
        <v>2</v>
      </c>
      <c r="B59" t="s">
        <v>103</v>
      </c>
      <c r="C59" s="36" t="s">
        <v>102</v>
      </c>
      <c r="D59" s="37">
        <v>0.33500000000000002</v>
      </c>
      <c r="E59" s="25">
        <f t="shared" si="0"/>
        <v>0.67</v>
      </c>
      <c r="F59" t="s">
        <v>104</v>
      </c>
    </row>
    <row r="60" spans="1:6" ht="15.75" thickBot="1" x14ac:dyDescent="0.3">
      <c r="A60" s="33">
        <v>2</v>
      </c>
      <c r="B60" s="3" t="s">
        <v>105</v>
      </c>
      <c r="C60" s="39" t="s">
        <v>106</v>
      </c>
      <c r="D60" s="32">
        <v>14.72</v>
      </c>
      <c r="E60" s="25">
        <f t="shared" si="0"/>
        <v>29.44</v>
      </c>
    </row>
    <row r="61" spans="1:6" ht="15" x14ac:dyDescent="0.25">
      <c r="A61" s="33">
        <v>2</v>
      </c>
      <c r="B61" t="s">
        <v>107</v>
      </c>
      <c r="C61" s="36" t="s">
        <v>108</v>
      </c>
      <c r="D61" s="37">
        <v>1.31</v>
      </c>
      <c r="E61" s="25">
        <f t="shared" si="0"/>
        <v>2.62</v>
      </c>
      <c r="F61" t="s">
        <v>109</v>
      </c>
    </row>
    <row r="62" spans="1:6" ht="15" x14ac:dyDescent="0.25">
      <c r="A62" s="33">
        <v>1</v>
      </c>
      <c r="B62" s="3" t="s">
        <v>110</v>
      </c>
      <c r="C62" s="31" t="s">
        <v>111</v>
      </c>
      <c r="D62" s="32">
        <v>7.08</v>
      </c>
      <c r="E62" s="25">
        <f t="shared" si="0"/>
        <v>7.08</v>
      </c>
    </row>
    <row r="63" spans="1:6" ht="15" x14ac:dyDescent="0.25">
      <c r="A63" s="33">
        <v>2</v>
      </c>
      <c r="B63" s="35" t="s">
        <v>112</v>
      </c>
      <c r="C63" s="36" t="s">
        <v>113</v>
      </c>
      <c r="D63" s="37">
        <v>2.82</v>
      </c>
      <c r="E63" s="25">
        <f t="shared" si="0"/>
        <v>5.64</v>
      </c>
      <c r="F63" t="s">
        <v>114</v>
      </c>
    </row>
    <row r="64" spans="1:6" ht="13.5" thickBot="1" x14ac:dyDescent="0.25">
      <c r="E64" s="41"/>
      <c r="F64" t="s">
        <v>117</v>
      </c>
    </row>
    <row r="65" spans="1:6" ht="15.75" x14ac:dyDescent="0.25">
      <c r="A65" s="33">
        <v>2</v>
      </c>
      <c r="B65" s="45" t="s">
        <v>120</v>
      </c>
      <c r="C65" s="46" t="s">
        <v>121</v>
      </c>
      <c r="D65" s="47">
        <v>0.70499999999999996</v>
      </c>
      <c r="E65" s="25">
        <f t="shared" ref="E65:E104" si="1">A65*D65</f>
        <v>1.41</v>
      </c>
    </row>
    <row r="66" spans="1:6" ht="15.75" x14ac:dyDescent="0.25">
      <c r="A66">
        <v>1</v>
      </c>
      <c r="B66" t="s">
        <v>122</v>
      </c>
      <c r="C66" s="46" t="s">
        <v>123</v>
      </c>
      <c r="D66" s="47">
        <v>4.78</v>
      </c>
      <c r="E66" s="25">
        <f t="shared" si="1"/>
        <v>4.78</v>
      </c>
      <c r="F66" t="s">
        <v>124</v>
      </c>
    </row>
    <row r="67" spans="1:6" ht="15.75" x14ac:dyDescent="0.25">
      <c r="A67" s="48">
        <v>3</v>
      </c>
      <c r="B67" t="s">
        <v>125</v>
      </c>
      <c r="C67" s="46" t="s">
        <v>126</v>
      </c>
      <c r="D67" s="47">
        <v>0.49</v>
      </c>
      <c r="E67" s="25">
        <f t="shared" si="1"/>
        <v>1.47</v>
      </c>
      <c r="F67" t="s">
        <v>127</v>
      </c>
    </row>
    <row r="68" spans="1:6" ht="15" x14ac:dyDescent="0.25">
      <c r="A68" s="48">
        <v>4</v>
      </c>
      <c r="B68" s="3" t="s">
        <v>128</v>
      </c>
      <c r="C68" s="42" t="s">
        <v>129</v>
      </c>
      <c r="D68" s="44">
        <v>7.5</v>
      </c>
      <c r="E68" s="25">
        <f t="shared" si="1"/>
        <v>30</v>
      </c>
    </row>
    <row r="69" spans="1:6" ht="15.75" x14ac:dyDescent="0.25">
      <c r="A69" s="48">
        <v>2</v>
      </c>
      <c r="B69" t="s">
        <v>130</v>
      </c>
      <c r="C69" s="46" t="s">
        <v>131</v>
      </c>
      <c r="D69" s="47">
        <v>1.28</v>
      </c>
      <c r="E69" s="25">
        <f t="shared" si="1"/>
        <v>2.56</v>
      </c>
      <c r="F69" t="s">
        <v>132</v>
      </c>
    </row>
    <row r="70" spans="1:6" ht="15.75" x14ac:dyDescent="0.25">
      <c r="A70" s="48">
        <v>6</v>
      </c>
      <c r="B70" t="s">
        <v>133</v>
      </c>
      <c r="C70" s="46" t="s">
        <v>134</v>
      </c>
      <c r="D70" s="47">
        <v>0.52500000000000002</v>
      </c>
      <c r="E70" s="25">
        <f t="shared" si="1"/>
        <v>3.1500000000000004</v>
      </c>
      <c r="F70" t="s">
        <v>135</v>
      </c>
    </row>
    <row r="71" spans="1:6" ht="15.75" thickBot="1" x14ac:dyDescent="0.3">
      <c r="A71" s="48">
        <v>2</v>
      </c>
      <c r="B71" s="3" t="s">
        <v>136</v>
      </c>
      <c r="C71" s="49" t="s">
        <v>137</v>
      </c>
      <c r="D71" s="43">
        <v>0.67900000000000005</v>
      </c>
      <c r="E71" s="25">
        <f t="shared" si="1"/>
        <v>1.3580000000000001</v>
      </c>
    </row>
    <row r="72" spans="1:6" ht="15" x14ac:dyDescent="0.25">
      <c r="A72" s="48">
        <v>6</v>
      </c>
      <c r="B72" s="3" t="s">
        <v>138</v>
      </c>
      <c r="C72" s="42" t="s">
        <v>139</v>
      </c>
      <c r="D72" s="44">
        <v>0.48199999999999998</v>
      </c>
      <c r="E72" s="25">
        <f t="shared" si="1"/>
        <v>2.8919999999999999</v>
      </c>
    </row>
    <row r="73" spans="1:6" ht="15.75" thickBot="1" x14ac:dyDescent="0.3">
      <c r="A73" s="48">
        <v>6</v>
      </c>
      <c r="B73" s="3" t="s">
        <v>140</v>
      </c>
      <c r="C73" s="49" t="s">
        <v>141</v>
      </c>
      <c r="D73" s="44">
        <v>8.5999999999999993E-2</v>
      </c>
      <c r="E73" s="25">
        <f t="shared" si="1"/>
        <v>0.51600000000000001</v>
      </c>
    </row>
    <row r="74" spans="1:6" ht="15.75" x14ac:dyDescent="0.25">
      <c r="A74" s="48">
        <v>5</v>
      </c>
      <c r="B74" t="s">
        <v>142</v>
      </c>
      <c r="C74" s="46" t="s">
        <v>143</v>
      </c>
      <c r="D74" s="47">
        <v>8.5999999999999993E-2</v>
      </c>
      <c r="E74" s="25">
        <f t="shared" si="1"/>
        <v>0.42999999999999994</v>
      </c>
    </row>
    <row r="75" spans="1:6" ht="15" x14ac:dyDescent="0.25">
      <c r="A75" s="48">
        <v>5</v>
      </c>
      <c r="B75" s="3" t="s">
        <v>144</v>
      </c>
      <c r="C75" s="42" t="s">
        <v>145</v>
      </c>
      <c r="D75" s="44">
        <v>8.5999999999999993E-2</v>
      </c>
      <c r="E75" s="25">
        <f t="shared" si="1"/>
        <v>0.42999999999999994</v>
      </c>
    </row>
    <row r="76" spans="1:6" ht="15" x14ac:dyDescent="0.25">
      <c r="A76" s="48">
        <v>5</v>
      </c>
      <c r="B76" s="3" t="s">
        <v>146</v>
      </c>
      <c r="C76" s="42" t="s">
        <v>147</v>
      </c>
      <c r="D76" s="44">
        <v>8.5999999999999993E-2</v>
      </c>
      <c r="E76" s="25">
        <f t="shared" si="1"/>
        <v>0.42999999999999994</v>
      </c>
    </row>
    <row r="77" spans="1:6" ht="15.75" x14ac:dyDescent="0.25">
      <c r="A77" s="48">
        <v>5</v>
      </c>
      <c r="B77" t="s">
        <v>148</v>
      </c>
      <c r="C77" s="46" t="s">
        <v>149</v>
      </c>
      <c r="D77" s="47">
        <v>0.33500000000000002</v>
      </c>
      <c r="E77" s="25">
        <f t="shared" si="1"/>
        <v>1.675</v>
      </c>
    </row>
    <row r="78" spans="1:6" ht="15.75" thickBot="1" x14ac:dyDescent="0.3">
      <c r="A78" s="48">
        <v>5</v>
      </c>
      <c r="B78" s="3" t="s">
        <v>150</v>
      </c>
      <c r="C78" s="50" t="s">
        <v>151</v>
      </c>
      <c r="D78" s="44">
        <v>9.5000000000000001E-2</v>
      </c>
      <c r="E78" s="25">
        <f t="shared" si="1"/>
        <v>0.47499999999999998</v>
      </c>
    </row>
    <row r="79" spans="1:6" ht="15" x14ac:dyDescent="0.25">
      <c r="A79" s="48">
        <v>5</v>
      </c>
      <c r="B79" s="3" t="s">
        <v>152</v>
      </c>
      <c r="C79" s="42" t="s">
        <v>153</v>
      </c>
      <c r="D79" s="44">
        <v>8.5999999999999993E-2</v>
      </c>
      <c r="E79" s="25">
        <f t="shared" si="1"/>
        <v>0.42999999999999994</v>
      </c>
    </row>
    <row r="80" spans="1:6" ht="15.75" x14ac:dyDescent="0.25">
      <c r="A80" s="48">
        <v>2</v>
      </c>
      <c r="B80" t="s">
        <v>154</v>
      </c>
      <c r="C80" s="46" t="s">
        <v>155</v>
      </c>
      <c r="D80" s="47">
        <v>0.43</v>
      </c>
      <c r="E80" s="25">
        <f t="shared" si="1"/>
        <v>0.86</v>
      </c>
    </row>
    <row r="81" spans="1:5" ht="15" x14ac:dyDescent="0.25">
      <c r="A81" s="48">
        <v>2</v>
      </c>
      <c r="B81" s="3" t="s">
        <v>156</v>
      </c>
      <c r="C81" s="42" t="s">
        <v>157</v>
      </c>
      <c r="D81" s="44">
        <v>0.93700000000000006</v>
      </c>
      <c r="E81" s="25">
        <f t="shared" si="1"/>
        <v>1.8740000000000001</v>
      </c>
    </row>
    <row r="82" spans="1:5" ht="15" x14ac:dyDescent="0.25">
      <c r="A82" s="48">
        <v>10</v>
      </c>
      <c r="B82" s="3" t="s">
        <v>158</v>
      </c>
      <c r="C82" s="42" t="s">
        <v>159</v>
      </c>
      <c r="D82" s="44">
        <v>8.5999999999999993E-2</v>
      </c>
      <c r="E82" s="25">
        <f t="shared" si="1"/>
        <v>0.85999999999999988</v>
      </c>
    </row>
    <row r="83" spans="1:5" ht="15" x14ac:dyDescent="0.25">
      <c r="A83" s="48">
        <v>7</v>
      </c>
      <c r="B83" s="3" t="s">
        <v>160</v>
      </c>
      <c r="C83" s="42" t="s">
        <v>161</v>
      </c>
      <c r="D83" s="44">
        <v>1.29</v>
      </c>
      <c r="E83" s="25">
        <f t="shared" si="1"/>
        <v>9.0300000000000011</v>
      </c>
    </row>
    <row r="84" spans="1:5" ht="15" x14ac:dyDescent="0.25">
      <c r="A84" s="48">
        <v>20</v>
      </c>
      <c r="B84" s="3" t="s">
        <v>162</v>
      </c>
      <c r="C84" s="42" t="s">
        <v>163</v>
      </c>
      <c r="D84" s="44">
        <v>0.13800000000000001</v>
      </c>
      <c r="E84" s="25">
        <f t="shared" si="1"/>
        <v>2.7600000000000002</v>
      </c>
    </row>
    <row r="85" spans="1:5" ht="15" x14ac:dyDescent="0.25">
      <c r="A85" s="48">
        <v>5</v>
      </c>
      <c r="B85" s="3" t="s">
        <v>164</v>
      </c>
      <c r="C85" s="42" t="s">
        <v>165</v>
      </c>
      <c r="D85" s="44">
        <v>0.18099999999999999</v>
      </c>
      <c r="E85" s="25">
        <f t="shared" si="1"/>
        <v>0.90500000000000003</v>
      </c>
    </row>
    <row r="86" spans="1:5" ht="15" x14ac:dyDescent="0.25">
      <c r="A86" s="48">
        <v>5</v>
      </c>
      <c r="B86" s="3" t="s">
        <v>166</v>
      </c>
      <c r="C86" s="42" t="s">
        <v>167</v>
      </c>
      <c r="D86" s="44">
        <v>0.10299999999999999</v>
      </c>
      <c r="E86" s="25">
        <f t="shared" si="1"/>
        <v>0.51500000000000001</v>
      </c>
    </row>
    <row r="87" spans="1:5" ht="15" x14ac:dyDescent="0.25">
      <c r="A87" s="48">
        <v>5</v>
      </c>
      <c r="B87" s="3" t="s">
        <v>168</v>
      </c>
      <c r="C87" s="42" t="s">
        <v>169</v>
      </c>
      <c r="D87" s="44">
        <v>8.5999999999999993E-2</v>
      </c>
      <c r="E87" s="25">
        <f t="shared" si="1"/>
        <v>0.42999999999999994</v>
      </c>
    </row>
    <row r="88" spans="1:5" ht="15.75" thickBot="1" x14ac:dyDescent="0.3">
      <c r="A88" s="48">
        <v>3</v>
      </c>
      <c r="B88" s="3" t="s">
        <v>170</v>
      </c>
      <c r="C88" s="50" t="s">
        <v>171</v>
      </c>
      <c r="D88" s="43">
        <v>1.97</v>
      </c>
      <c r="E88" s="25">
        <f t="shared" si="1"/>
        <v>5.91</v>
      </c>
    </row>
    <row r="89" spans="1:5" ht="15.75" thickBot="1" x14ac:dyDescent="0.3">
      <c r="A89" s="48">
        <v>5</v>
      </c>
      <c r="B89" s="3" t="s">
        <v>172</v>
      </c>
      <c r="C89" s="49" t="s">
        <v>173</v>
      </c>
      <c r="D89" s="44">
        <v>0.13800000000000001</v>
      </c>
      <c r="E89" s="25">
        <f t="shared" si="1"/>
        <v>0.69000000000000006</v>
      </c>
    </row>
    <row r="90" spans="1:5" ht="15" x14ac:dyDescent="0.25">
      <c r="A90" s="48">
        <v>5</v>
      </c>
      <c r="B90" s="3" t="s">
        <v>174</v>
      </c>
      <c r="C90" s="42" t="s">
        <v>175</v>
      </c>
      <c r="D90" s="44">
        <v>0.17199999999999999</v>
      </c>
      <c r="E90" s="25">
        <f t="shared" si="1"/>
        <v>0.85999999999999988</v>
      </c>
    </row>
    <row r="91" spans="1:5" ht="15.75" thickBot="1" x14ac:dyDescent="0.3">
      <c r="A91" s="48">
        <v>10</v>
      </c>
      <c r="B91" s="3" t="s">
        <v>176</v>
      </c>
      <c r="C91" s="50" t="s">
        <v>177</v>
      </c>
      <c r="D91" s="44">
        <v>0.79100000000000004</v>
      </c>
      <c r="E91" s="25">
        <f t="shared" si="1"/>
        <v>7.91</v>
      </c>
    </row>
    <row r="92" spans="1:5" ht="15.75" thickBot="1" x14ac:dyDescent="0.3">
      <c r="A92" s="48">
        <v>5</v>
      </c>
      <c r="B92" s="3" t="s">
        <v>178</v>
      </c>
      <c r="C92" s="49" t="s">
        <v>179</v>
      </c>
      <c r="D92" s="44">
        <v>8.5999999999999993E-2</v>
      </c>
      <c r="E92" s="25">
        <f t="shared" si="1"/>
        <v>0.42999999999999994</v>
      </c>
    </row>
    <row r="93" spans="1:5" ht="15" x14ac:dyDescent="0.25">
      <c r="A93" s="48">
        <v>5</v>
      </c>
      <c r="B93" s="3" t="s">
        <v>180</v>
      </c>
      <c r="C93" s="42" t="s">
        <v>181</v>
      </c>
      <c r="D93" s="44">
        <v>8.5999999999999993E-2</v>
      </c>
      <c r="E93" s="25">
        <f t="shared" si="1"/>
        <v>0.42999999999999994</v>
      </c>
    </row>
    <row r="94" spans="1:5" ht="15.75" thickBot="1" x14ac:dyDescent="0.3">
      <c r="A94" s="48">
        <v>5</v>
      </c>
      <c r="B94" s="3" t="s">
        <v>182</v>
      </c>
      <c r="C94" s="50" t="s">
        <v>183</v>
      </c>
      <c r="D94" s="44">
        <v>8.5999999999999993E-2</v>
      </c>
      <c r="E94" s="25">
        <f t="shared" si="1"/>
        <v>0.42999999999999994</v>
      </c>
    </row>
    <row r="95" spans="1:5" ht="15.75" thickBot="1" x14ac:dyDescent="0.3">
      <c r="A95" s="48">
        <v>5</v>
      </c>
      <c r="B95" s="3" t="s">
        <v>184</v>
      </c>
      <c r="C95" s="50" t="s">
        <v>185</v>
      </c>
      <c r="D95" s="44">
        <v>0.10299999999999999</v>
      </c>
      <c r="E95" s="25">
        <f t="shared" si="1"/>
        <v>0.51500000000000001</v>
      </c>
    </row>
    <row r="96" spans="1:5" ht="15" x14ac:dyDescent="0.25">
      <c r="A96" s="48">
        <v>5</v>
      </c>
      <c r="B96" s="3" t="s">
        <v>186</v>
      </c>
      <c r="C96" s="42" t="s">
        <v>187</v>
      </c>
      <c r="D96" s="44">
        <v>0.378</v>
      </c>
      <c r="E96" s="25">
        <f t="shared" si="1"/>
        <v>1.8900000000000001</v>
      </c>
    </row>
    <row r="97" spans="1:6" ht="15.75" thickBot="1" x14ac:dyDescent="0.3">
      <c r="A97" s="48">
        <v>5</v>
      </c>
      <c r="B97" s="3" t="s">
        <v>188</v>
      </c>
      <c r="C97" s="50" t="s">
        <v>189</v>
      </c>
      <c r="D97" s="44">
        <v>0.16300000000000001</v>
      </c>
      <c r="E97" s="25">
        <f t="shared" si="1"/>
        <v>0.81500000000000006</v>
      </c>
    </row>
    <row r="98" spans="1:6" ht="15.75" thickBot="1" x14ac:dyDescent="0.3">
      <c r="A98" s="48">
        <v>5</v>
      </c>
      <c r="B98" s="3" t="s">
        <v>190</v>
      </c>
      <c r="C98" s="49" t="s">
        <v>191</v>
      </c>
      <c r="D98" s="44">
        <v>8.5999999999999993E-2</v>
      </c>
      <c r="E98" s="25">
        <f t="shared" si="1"/>
        <v>0.42999999999999994</v>
      </c>
    </row>
    <row r="99" spans="1:6" ht="15" x14ac:dyDescent="0.25">
      <c r="A99" s="48">
        <v>5</v>
      </c>
      <c r="B99" s="3" t="s">
        <v>192</v>
      </c>
      <c r="C99" s="42" t="s">
        <v>193</v>
      </c>
      <c r="D99" s="44">
        <v>0.112</v>
      </c>
      <c r="E99" s="25">
        <f t="shared" si="1"/>
        <v>0.56000000000000005</v>
      </c>
    </row>
    <row r="100" spans="1:6" ht="15" x14ac:dyDescent="0.25">
      <c r="A100" s="48">
        <v>5</v>
      </c>
      <c r="B100" s="3" t="s">
        <v>194</v>
      </c>
      <c r="C100" s="42" t="s">
        <v>195</v>
      </c>
      <c r="D100" s="44">
        <v>0.18099999999999999</v>
      </c>
      <c r="E100" s="25">
        <f t="shared" si="1"/>
        <v>0.90500000000000003</v>
      </c>
    </row>
    <row r="101" spans="1:6" ht="15.75" thickBot="1" x14ac:dyDescent="0.3">
      <c r="A101" s="48">
        <v>20</v>
      </c>
      <c r="B101" s="3" t="s">
        <v>182</v>
      </c>
      <c r="C101" s="50" t="s">
        <v>183</v>
      </c>
      <c r="D101" s="44">
        <v>8.5999999999999993E-2</v>
      </c>
      <c r="E101" s="25">
        <f t="shared" si="1"/>
        <v>1.7199999999999998</v>
      </c>
    </row>
    <row r="102" spans="1:6" ht="15" x14ac:dyDescent="0.25">
      <c r="A102" s="48">
        <v>5</v>
      </c>
      <c r="B102" s="3" t="s">
        <v>196</v>
      </c>
      <c r="C102" s="42" t="s">
        <v>197</v>
      </c>
      <c r="D102" s="44">
        <v>8.5999999999999993E-2</v>
      </c>
      <c r="E102" s="25">
        <f t="shared" si="1"/>
        <v>0.42999999999999994</v>
      </c>
    </row>
    <row r="103" spans="1:6" ht="16.5" thickBot="1" x14ac:dyDescent="0.3">
      <c r="A103" s="48">
        <v>1</v>
      </c>
      <c r="B103" t="s">
        <v>198</v>
      </c>
      <c r="C103" s="46" t="s">
        <v>199</v>
      </c>
      <c r="D103" s="51">
        <v>2.66</v>
      </c>
      <c r="E103" s="25">
        <f t="shared" si="1"/>
        <v>2.66</v>
      </c>
      <c r="F103" t="s">
        <v>200</v>
      </c>
    </row>
    <row r="104" spans="1:6" ht="15" x14ac:dyDescent="0.25">
      <c r="A104" s="48">
        <v>1</v>
      </c>
      <c r="B104" s="3" t="s">
        <v>201</v>
      </c>
      <c r="C104" s="42" t="s">
        <v>202</v>
      </c>
      <c r="D104" s="44">
        <v>15.11</v>
      </c>
      <c r="E104" s="25">
        <f t="shared" si="1"/>
        <v>15.11</v>
      </c>
    </row>
    <row r="105" spans="1:6" ht="15" x14ac:dyDescent="0.25">
      <c r="E105" s="25">
        <f>Tabelle3!A22*Tabelle3!D22</f>
        <v>5.12</v>
      </c>
    </row>
    <row r="106" spans="1:6" ht="15" x14ac:dyDescent="0.25">
      <c r="A106" s="48">
        <v>1</v>
      </c>
      <c r="B106" s="3" t="s">
        <v>205</v>
      </c>
      <c r="C106" s="42" t="s">
        <v>206</v>
      </c>
      <c r="D106" s="44">
        <v>19.72</v>
      </c>
      <c r="E106" s="25">
        <f>A106*D106</f>
        <v>19.72</v>
      </c>
    </row>
    <row r="107" spans="1:6" ht="15.75" x14ac:dyDescent="0.25">
      <c r="A107" s="48">
        <v>2</v>
      </c>
      <c r="B107" s="45" t="s">
        <v>207</v>
      </c>
      <c r="C107" s="46" t="s">
        <v>208</v>
      </c>
      <c r="D107" s="47">
        <v>0.85099999999999998</v>
      </c>
      <c r="E107" s="25">
        <f>A107*D107</f>
        <v>1.702</v>
      </c>
    </row>
    <row r="108" spans="1:6" ht="15.75" x14ac:dyDescent="0.25">
      <c r="A108" s="48">
        <v>1</v>
      </c>
      <c r="B108" t="s">
        <v>209</v>
      </c>
      <c r="C108" s="46" t="s">
        <v>210</v>
      </c>
      <c r="D108" s="47">
        <v>17</v>
      </c>
      <c r="E108" s="25">
        <f>A108*D108</f>
        <v>17</v>
      </c>
    </row>
    <row r="109" spans="1:6" ht="15" x14ac:dyDescent="0.25">
      <c r="E109" s="25">
        <f>Tabelle2!A42*Tabelle2!D42</f>
        <v>2.4300000000000002</v>
      </c>
    </row>
    <row r="110" spans="1:6" ht="13.5" thickBot="1" x14ac:dyDescent="0.25"/>
    <row r="111" spans="1:6" x14ac:dyDescent="0.2">
      <c r="D111" s="18" t="s">
        <v>17</v>
      </c>
      <c r="E111" s="19">
        <f>SUM(E23:E110)</f>
        <v>297.48000000000008</v>
      </c>
    </row>
    <row r="112" spans="1:6" ht="13.5" thickBot="1" x14ac:dyDescent="0.25">
      <c r="D112" s="20" t="s">
        <v>19</v>
      </c>
      <c r="E112" s="21">
        <f>E111*0.19</f>
        <v>56.521200000000015</v>
      </c>
    </row>
    <row r="113" spans="4:5" ht="13.5" thickBot="1" x14ac:dyDescent="0.25">
      <c r="D113" s="22" t="s">
        <v>18</v>
      </c>
      <c r="E113" s="23">
        <f>E111+E112</f>
        <v>354.0012000000001</v>
      </c>
    </row>
  </sheetData>
  <phoneticPr fontId="4" type="noConversion"/>
  <hyperlinks>
    <hyperlink ref="C4" r:id="rId1" display="https://www.mouser.de/contact/" xr:uid="{75F9E556-575C-4391-9F25-1B580C449C24}"/>
    <hyperlink ref="C5" r:id="rId2" display="https://www.mouser.de/contact/" xr:uid="{516A25AB-481F-4065-A79A-AD7757F25CA4}"/>
    <hyperlink ref="C8" r:id="rId3" display="mailto:muenchen%40mouser.com" xr:uid="{8C325773-3133-474A-B093-1FC79BBD08E8}"/>
    <hyperlink ref="B23" r:id="rId4" display="https://www.mouser.de/de/ProductDetail/YAGEO/CC0603KRX7R9BB104?qs=sGAEpiMZZMukHu%252BjC5l7YUrFUWXVLUy60Yaemy%252Bs3II%3D" xr:uid="{A8D2B5FC-1A13-48C3-B675-FD9BBAC93DEF}"/>
    <hyperlink ref="B24" r:id="rId5" display="https://www.mouser.de/de/ProductDetail/YAGEO/CC0603MRX7R5BB475?qs=sGAEpiMZZMsh%252B1woXyUXj90%252Bz9elmv428DyDbLPeRqs%3D" xr:uid="{B3003CC5-0D74-4CE8-95D1-FDE482B351D4}"/>
    <hyperlink ref="B25" r:id="rId6" display="https://www.mouser.de/de/ProductDetail/YAGEO/CC0603KRX7R9BB104?qs=vTakOoo5QyLvVCYM2ge8LQ%3D%3D" xr:uid="{DF1BBF56-BB9C-4B75-9E44-5158EC34D70A}"/>
    <hyperlink ref="B26" r:id="rId7" display="https://www.mouser.de/de/ProductDetail/KYOCERA-AVX/TPSF157K010R0200?qs=%2FAyNC%2FU1o91Nx%252BUpVCohjg%3D%3D" xr:uid="{B3CF7A32-AC3C-4105-A25D-602F51EBAED3}"/>
    <hyperlink ref="B28" r:id="rId8" display="https://www.mouser.de/de/ProductDetail/KEMET/C0402T101J5GACTU?qs=u4fy%2FsgLU9PLUPqqcVgCTA%3D%3D" xr:uid="{EFE3F8FA-4E48-4411-8F22-D85E7C7BC320}"/>
    <hyperlink ref="B29" r:id="rId9" display="https://www.mouser.de/de/ProductDetail/KYOCERA-AVX/CM03X5R105M06AH?qs=rkhjVJ6%2F3ELzWF91DLscGA%3D%3D" xr:uid="{C4066CE6-03D0-4B69-80B2-619A04B536B7}"/>
    <hyperlink ref="B30" r:id="rId10" display="https://www.mouser.de/de/ProductDetail/TDK/C0402X7R1A102K020BC?qs=Zt%252BKPUOg4oeVeDoDR%252BkQnw%3D%3D" xr:uid="{8D4F1375-CE3E-48FA-B384-828FA323621F}"/>
    <hyperlink ref="B31" r:id="rId11" display="https://www.mouser.de/de/ProductDetail/Vishay-Vitramon/VJ0402D2R2BXCAJ?qs=sGAEpiMZZMsh%252B1woXyUXj2z2wRXEsjcw0y7O4esQ7qA%3D" xr:uid="{2ABF2D99-A1BB-4FF1-BE7F-84B5F4F3268F}"/>
    <hyperlink ref="B32" r:id="rId12" display="https://www.mouser.de/de/ProductDetail/KYOCERA-AVX/04026W475MAT2A?qs=sGAEpiMZZMsh%252B1woXyUXjzY5digEXfcQJ8tiWZZJOtY%3D" xr:uid="{15AE2141-923A-4D0E-B952-8D6CC025E425}"/>
    <hyperlink ref="B33" r:id="rId13" display="https://www.mouser.de/de/ProductDetail/Vishay-Vitramon/VJ0402D150FXCAJ?qs=sGAEpiMZZMsh%252B1woXyUXj2z2wRXEsjcwemUAQOVhQ3A%3D" xr:uid="{817D75E8-405D-4EA7-8DCE-69795EB69235}"/>
    <hyperlink ref="B34" r:id="rId14" display="https://www.mouser.de/de/ProductDetail/YAGEO/CC0402KRX5R8BB104?qs=KosDah%252BIqW%252Br%2Fi6bZws5wg%3D%3D" xr:uid="{16E5FE79-874A-4382-8DC9-44DD26F15074}"/>
    <hyperlink ref="B35" r:id="rId15" display="https://www.mouser.de/de/ProductDetail/Murata-Electronics/GCM1555C1H3R2CA16D?qs=b6dFT0v%2Fxb9um9LTQ3aBBQ%3D%3D" xr:uid="{853682B0-98F2-43B9-99D9-0DCFDF63F48C}"/>
    <hyperlink ref="B36" r:id="rId16" display="https://www.mouser.de/de/ProductDetail/KYOCERA-AVX/0402YU2R4BAT2A?qs=ZwvTZoB9SO%2F9xc3E5Q%252BCrg%3D%3D" xr:uid="{55B2717E-FA6A-446D-915A-0F22977CE9AE}"/>
    <hyperlink ref="B37" r:id="rId17" display="https://www.mouser.de/de/ProductDetail/KYOCERA-AVX/TRJC475K035RRJ?qs=utR%252BHFm0FzLRVcCCl%252BXb7w%3D%3D" xr:uid="{F09BFAE4-79C2-4301-9C44-FA38D08771A2}"/>
    <hyperlink ref="B38" r:id="rId18" display="https://www.mouser.de/de/ProductDetail/Vishay-Vitramon/VJ0603Y102MXAAC?qs=tKBoUWxeOJbblqoMJ9HNGg%3D%3D" xr:uid="{BA852335-009C-4B07-A239-3BA263181CA9}"/>
    <hyperlink ref="B39" r:id="rId19" display="https://www.mouser.de/de/ProductDetail/YAGEO/CC0402JPNPO9BN151?qs=tS%2FAHvPQ%2F54Y2RC7yI%252Bzfg%3D%3D" xr:uid="{7B5CA81D-B569-426C-BD21-0A36EBD6F8CC}"/>
    <hyperlink ref="B40" r:id="rId20" display="https://www.mouser.de/de/ProductDetail/KYOCERA-AVX/06035C331M4T2A?qs=ZBeOGGPQgEHm0YWrnTdMuA%3D%3D" xr:uid="{E39EE717-8E12-45B2-9DBF-9F531F1BDC50}"/>
    <hyperlink ref="B41" r:id="rId21" display="https://www.mouser.de/de/ProductDetail/Vishay-Vitramon/VJ1206A331JXAAT?qs=2M%252BU6H05pn89jvT56Cs8tw%3D%3D" xr:uid="{8B47267A-81B8-45CF-80BF-5116B03E6F37}"/>
    <hyperlink ref="B42" r:id="rId22" display="https://www.mouser.de/de/ProductDetail/YAGEO/CC1206KFX5R7BB106?qs=mzRxyRlhVdtbHnIGelyb5g%3D%3D" xr:uid="{272BBA45-A85E-4864-912F-7A96575578E2}"/>
    <hyperlink ref="B43" r:id="rId23" display="https://www.mouser.de/de/ProductDetail/YAGEO/CC0402KRX7R7BB104?qs=AgBp2OyFlx%252BSOyhfyS7hpw%3D%3D" xr:uid="{D2CA3E01-9FAB-4587-8BE0-B1A7568C7413}"/>
    <hyperlink ref="B44" r:id="rId24" display="https://www.mouser.de/de/ProductDetail/KYOCERA-AVX/04023A1R0DAT2A?qs=FkeSXReRH1vgN2x1fywzxw%3D%3D" xr:uid="{AC75E56E-E08C-4EE4-99C8-46342EF7E297}"/>
    <hyperlink ref="B45" r:id="rId25" display="https://www.mouser.de/de/ProductDetail/YAGEO/AC0402KRX7R9BB272?qs=iHX4uCgIbgNWchYmcffrcg%3D%3D" xr:uid="{487D0D3E-C52E-4343-9072-FE302E0A910E}"/>
    <hyperlink ref="B46" r:id="rId26" display="https://www.mouser.de/de/ProductDetail/YAGEO/CC0402KRX7R7BB393?qs=5q%252BqlK8CmJSJTmxHu%252BIslQ%3D%3D" xr:uid="{FA0C55F2-71AE-43AD-AF66-411A2E94A047}"/>
    <hyperlink ref="B47" r:id="rId27" display="https://www.mouser.de/de/ProductDetail/YAGEO/AC0402KRX7R9BB122?qs=W0yvOO0ixfHbVYdJnLy%252BqQ%3D%3D" xr:uid="{3C636955-701B-48CD-855F-A08FEF9EF02E}"/>
    <hyperlink ref="B48" r:id="rId28" display="https://www.mouser.de/de/ProductDetail/Vishay-Sprague/VJ0402A121JXAAC?qs=3Pj1lnMdkfqiKcr%252BAQDyOQ%3D%3D" xr:uid="{271004D1-B60F-4039-AE45-8095D72D2FBF}"/>
    <hyperlink ref="B50" r:id="rId29" display="https://www.mouser.de/de/ProductDetail/Murata-Electronics/GRM1555CYA103GE01J?qs=d0WKAl%252BL4KbA7gCogz12ew%3D%3D" xr:uid="{7089B96C-4CC0-4434-AF52-9F2D51914CC7}"/>
    <hyperlink ref="B52" r:id="rId30" display="https://www.mouser.de/de/ProductDetail/Bivar/SM0805GC?qs=umy9uXsUyyaRZQCOkrRsOQ%3D%3D" xr:uid="{0E1147B8-7599-4867-8795-4A8DC79E1260}"/>
    <hyperlink ref="B53" r:id="rId31" display="https://www.mouser.de/de/ProductDetail/VCC/LSM0805412V?qs=T3oQrply3y%2F3hzU4lskNyg%3D%3D" xr:uid="{91409628-1BFF-42DC-8B98-0D435B20A621}"/>
    <hyperlink ref="B56" r:id="rId32" display="https://www.mouser.de/en/ProductDetail/Johanson-Technology/2450BP08A0100T?qs=YCa%2FAAYMW02eslDA1%2Fi8Rw%3D%3D" xr:uid="{970BA1BD-3BB2-41FF-B2EA-558275F46E52}"/>
    <hyperlink ref="B60" r:id="rId33" display="https://www.mouser.de/en/ProductDetail/Mini-Circuits/RMS-30%2b?qs=Znm5pLBrcAIBkcPltAJrPg%3D%3D" xr:uid="{32AF05C6-ACC9-4E3A-9FD3-479F67450DC8}"/>
    <hyperlink ref="B62" r:id="rId34" display="https://www.mouser.de/en/ProductDetail/Analog-Devices/HMC374SC70E?qs=pceeu5JH%2FH8aAWz5sXQxvw%3D%3D" xr:uid="{8C9B46EA-5484-4558-BC8D-D6A36F2F9455}"/>
    <hyperlink ref="B27" r:id="rId35" display="https://www.mouser.de/de/ProductDetail/YAGEO/CQ0402FRNPO9BN100?qs=sGAEpiMZZMsh%252B1woXyUXj8PMfHfoZZHB%2F8QX5%252BC3Alo%3D" xr:uid="{EA1E149F-CF56-420E-80BC-64742F964D0B}"/>
    <hyperlink ref="B68" r:id="rId36" display="https://www.mouser.de/en/ProductDetail/Amphenol-RF/901-10309?qs=OWKQh20chuqRtazHxMcApw%3D%3D" xr:uid="{50CD5BDD-F7EE-474C-B97B-DE08F21C8D2F}"/>
    <hyperlink ref="B71" r:id="rId37" display="https://www.mouser.de/en/ProductDetail/Harwin/D01-9970642?qs=sGAEpiMZZMvlX3nhDDO4AJa%2Fj6AVBpVTpj3PX496rJs%3D" xr:uid="{3D5DF00E-3A50-44F9-9951-F66738184627}"/>
    <hyperlink ref="B72" r:id="rId38" display="https://www.mouser.de/en/ProductDetail/Harwin/D01-9970342?qs=sGAEpiMZZMvlX3nhDDO4AJa%2Fj6AVBpVTHWw28pc3HUc%3D" xr:uid="{DEF0DDE2-A4A8-423D-8FBB-FF66B6A9347A}"/>
    <hyperlink ref="B73" r:id="rId39" display="https://www.mouser.de/en/ProductDetail/Samtec/DW-01-07-T-S-200?qs=sGAEpiMZZMvlX3nhDDO4AOl4VJGJbPMjzsv6EE9m9ow%3D" xr:uid="{3CEDE3D1-876A-4259-AF74-E654E4B25FFB}"/>
    <hyperlink ref="B75" r:id="rId40" display="https://www.mouser.de/de/ProductDetail/Bourns/CE0603M-27NH?qs=sGAEpiMZZMukHu%252BjC5l7YX4WR8T43ds6UJu4TX15Rrc%3D" xr:uid="{05C17FA2-A046-498A-ADC0-A54C844EB7CC}"/>
    <hyperlink ref="B76" r:id="rId41" display="https://www.mouser.de/de/ProductDetail/TDK/MLG1005S12NHT000?qs=sGAEpiMZZMv126LJFLh8y5lwrxezZJ61LKcwM8yM6hA%3D" xr:uid="{0F1F2E39-297F-4462-9F38-D695022F9CC1}"/>
    <hyperlink ref="B78" r:id="rId42" display="https://www.mouser.de/de/ProductDetail/TDK/MLG1005S7N5JTD25?qs=sGAEpiMZZMv126LJFLh8y5lwrxezZJ61Z8fnku%252Bx3%2Fc%3D" xr:uid="{EA0DC2C7-8CB1-42CA-B3DB-9E80A74DC858}"/>
    <hyperlink ref="B79" r:id="rId43" display="https://www.mouser.de/de/ProductDetail/TDK/MLG1005S47NHT000?qs=sGAEpiMZZMv126LJFLh8y5lwrxezZJ61Cw%252BvSKJ%2FbYE%3D" xr:uid="{3B0AAD49-E3C2-4786-AB6A-E6F8711FA1BB}"/>
    <hyperlink ref="B81" r:id="rId44" display="https://www.mouser.de/en/ProductDetail/onsemi/2N7002?qs=0dwsXDNhqlz66WJJhrTFjQ%3D%3D" xr:uid="{75D7E8EC-E92A-4723-A755-83B6E6AAC7EA}"/>
    <hyperlink ref="B82" r:id="rId45" display="https://www.mouser.de/en/ProductDetail/YAGEO/AF0603FR-13100KL?qs=F5EMLAvA7IDemuDutB0AIQ%3D%3D" xr:uid="{1800AB27-752F-45B7-AECD-2D67E67034D1}"/>
    <hyperlink ref="B83" r:id="rId46" display="https://www.mouser.de/en/ProductDetail/Vishay-Dale/TNPU06031K00AYEA00?qs=6Iix%252B7vYeyom8fpR%2FboP3Q%3D%3D" xr:uid="{8511B61B-3BB8-40BF-BA42-17DC7E249EE3}"/>
    <hyperlink ref="B84" r:id="rId47" display="https://www.mouser.de/en/ProductDetail/YAGEO/AC0603DRE0710KL?qs=r5DSvlrkXmKh6qngPzSakA%3D%3D" xr:uid="{433F07F1-28A8-4DEA-8552-B2F1D0583181}"/>
    <hyperlink ref="B85" r:id="rId48" display="https://www.mouser.de/en/ProductDetail/Vishay/CRCW0603453KFKEAHP?qs=sGAEpiMZZMtlubZbdhIBIJYhLflKW0MlEWtBEvXG6cA%3D" xr:uid="{9D75CD80-121E-41D5-860C-65701BB63F50}"/>
    <hyperlink ref="B86" r:id="rId49" display="https://www.mouser.de/en/ProductDetail/YAGEO/RT0603FRD07499KL?qs=sGAEpiMZZMtlubZbdhIBIN5%2FhIkCOeWA%2FrNUQtkP4jk%3D" xr:uid="{FDC09652-C3BF-4E93-B5A8-E3E0B9ACDB0E}"/>
    <hyperlink ref="B87" r:id="rId50" display="https://www.mouser.de/en/ProductDetail/Vishay/CRCW060349K9FKEA?qs=sGAEpiMZZMtlubZbdhIBIJmUGkcQ%252B6arPfcrNu%252BeC3E%3D" xr:uid="{05F6A879-8E81-4080-84C8-7F2A33F9212A}"/>
    <hyperlink ref="B88" r:id="rId51" display="https://www.mouser.de/en/ProductDetail/Vishay/TNPU0603150RBZEN00?qs=sGAEpiMZZMtlubZbdhIBIKF%2FTFcY2hSplK0rWYXdbsg%3D" xr:uid="{51DC0520-BA9B-4143-9583-00269EB02DEA}"/>
    <hyperlink ref="B89" r:id="rId52" display="https://www.mouser.de/en/ProductDetail/Vishay/CRCW060333K2FKTA?qs=sGAEpiMZZMtlubZbdhIBIA1gxHQ7YFaKmt381sz5JoQ%3D" xr:uid="{8E345EA4-CF0C-4DA5-ACB6-DA79A40CCD64}"/>
    <hyperlink ref="B90" r:id="rId53" display="https://www.mouser.de/en/ProductDetail/Vishay/CRCW040291R0FKEDHP?qs=sGAEpiMZZMtlubZbdhIBIP6K42uwgsNV2Roc04ms%252B2g%3D" xr:uid="{13359CAE-1371-4109-8B48-D0E1AA7DAF11}"/>
    <hyperlink ref="B91" r:id="rId54" display="https://www.mouser.de/en/ProductDetail/Vishay/CRCW06030000Z0TAHP?qs=sGAEpiMZZMtlubZbdhIBIClVFK%252BqTFBgYSL1FIXE4rc%3D" xr:uid="{9B7C3EFB-1087-4CE0-9A37-41CEEE1F7396}"/>
    <hyperlink ref="B92" r:id="rId55" display="https://www.mouser.de/en/ProductDetail/Vishay/CRCW060326K7FKEA?qs=sGAEpiMZZMtlubZbdhIBIF%2FUFMPCPBt%252B22ahOeK2Npg%3D" xr:uid="{0DEB43C0-7EE8-48D2-BB37-065D54E44523}"/>
    <hyperlink ref="B93" r:id="rId56" display="https://www.mouser.de/en/ProductDetail/YAGEO/RC0603DR-07150RL?qs=sGAEpiMZZMtlubZbdhIBILQ05lGUfKWADGs5P8kSCu0%3D" xr:uid="{C0D2BE64-36C0-4DB5-BF68-B6F9910CAD08}"/>
    <hyperlink ref="B94" r:id="rId57" display="https://www.mouser.de/en/ProductDetail/YAGEO/TR0603MR-07100RL?qs=sGAEpiMZZMtlubZbdhIBIKm0gsRX2fVkxqGV2hbQDAU%3D" xr:uid="{7CB36451-CA32-41CF-A997-C97334219BF3}"/>
    <hyperlink ref="B95" r:id="rId58" display="https://www.mouser.de/en/ProductDetail/YAGEO/RC0603JR-1351RL?qs=sGAEpiMZZMtlubZbdhIBIB%252BhUdDhMCO8QWy8fkP72NY%3D" xr:uid="{4332F6D2-B84B-497C-B44A-E991A6E13238}"/>
    <hyperlink ref="B96" r:id="rId59" display="https://www.mouser.de/en/ProductDetail/Vishay/TNPW0603680RDEEA?qs=sGAEpiMZZMtlubZbdhIBIJ4TnNIQvYE7VYN5qx0sPT8%3D" xr:uid="{10EC1524-D76A-470B-A5D1-13A7CFD23E0C}"/>
    <hyperlink ref="B97" r:id="rId60" display="https://www.mouser.de/en/ProductDetail/Vishay/TNPW0603360RFHEA?qs=sGAEpiMZZMtlubZbdhIBIONtIqra%2FA5YYH6rhdCsqQw%3D" xr:uid="{896526FD-CD78-4A15-9E35-F587FE09522A}"/>
    <hyperlink ref="B98" r:id="rId61" display="https://www.mouser.de/en/ProductDetail/Vishay/CRCW06034K70FKEA?qs=sGAEpiMZZMtlubZbdhIBIGYvcJJnxxxrQwDimOdk6Uk%3D" xr:uid="{7D98EA85-9B41-430E-A8DD-76A84ACBA664}"/>
    <hyperlink ref="B99" r:id="rId62" display="https://www.mouser.de/en/ProductDetail/Vishay-Draloric/RCA0402100RJNED?qs=sGAEpiMZZMtlubZbdhIBICkZD26Dv0dBhi8d2PK2%252B2A%3D" xr:uid="{30F7DF52-E9FC-4957-B1E9-145A9867DDC0}"/>
    <hyperlink ref="B100" r:id="rId63" display="https://www.mouser.de/en/ProductDetail/Vishay/CRCW0402200RJNEE?qs=sGAEpiMZZMtlubZbdhIBIKbhzOdzan%2FG2jyuhm74noY%3D" xr:uid="{21735B0D-ECB6-4193-877C-700432D44060}"/>
    <hyperlink ref="B101" r:id="rId64" display="https://www.mouser.de/en/ProductDetail/YAGEO/TR0603MR-07100RL?qs=sGAEpiMZZMtlubZbdhIBIKm0gsRX2fVkxqGV2hbQDAU%3D" xr:uid="{E3C0B67E-6913-4EF9-9379-67187DBBFD9A}"/>
    <hyperlink ref="B102" r:id="rId65" display="https://www.mouser.de/en/ProductDetail/YAGEO/RT0603BRD0750KL?qs=sGAEpiMZZMtlubZbdhIBIEgN9MQql2m6ewcteVFRdgU%3D" xr:uid="{6D90D222-1B25-43F7-A995-BC19F6CFF469}"/>
    <hyperlink ref="B104" r:id="rId66" display="https://www.mouser.de/en/ProductDetail/Analog-Devices/LT3042MPMSEPBF?qs=oahfZPh6IAKb5Ne14xofIQ%3D%3D" xr:uid="{60DA7004-FAF3-43A4-82FE-C8567C81E2F2}"/>
    <hyperlink ref="B106" r:id="rId67" display="https://www.mouser.de/en/ProductDetail/Analog-Devices/ADF4351BCPZ?qs=BpaRKvA4VqFCiUOrGPcIQw%3D%3D" xr:uid="{8EA0DD1F-5A81-492A-BD9B-F879CA0A9863}"/>
  </hyperlinks>
  <pageMargins left="0.7" right="0.7" top="0.75" bottom="0.75" header="0.3" footer="0.3"/>
  <pageSetup paperSize="9" scale="60" orientation="landscape" horizontalDpi="1200" verticalDpi="1200" r:id="rId68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6"/>
  <sheetViews>
    <sheetView topLeftCell="A4" workbookViewId="0">
      <selection activeCell="K27" sqref="K27"/>
    </sheetView>
  </sheetViews>
  <sheetFormatPr defaultColWidth="11.5703125" defaultRowHeight="12.75" x14ac:dyDescent="0.2"/>
  <sheetData>
    <row r="1" spans="1:1" x14ac:dyDescent="0.2">
      <c r="A1" s="34"/>
    </row>
    <row r="8" spans="1:1" x14ac:dyDescent="0.2">
      <c r="A8" s="34"/>
    </row>
    <row r="18" spans="1:5" ht="20.25" x14ac:dyDescent="0.3">
      <c r="A18" s="5" t="s">
        <v>11</v>
      </c>
      <c r="C18" s="11"/>
    </row>
    <row r="19" spans="1:5" ht="15.75" x14ac:dyDescent="0.25">
      <c r="A19" s="1" t="s">
        <v>22</v>
      </c>
      <c r="B19" s="4"/>
      <c r="C19" s="57" t="s">
        <v>223</v>
      </c>
    </row>
    <row r="20" spans="1:5" ht="39" x14ac:dyDescent="0.25">
      <c r="A20" s="1" t="s">
        <v>23</v>
      </c>
      <c r="C20" s="56" t="s">
        <v>219</v>
      </c>
    </row>
    <row r="21" spans="1:5" ht="15.75" x14ac:dyDescent="0.25">
      <c r="A21" s="1" t="s">
        <v>3</v>
      </c>
      <c r="B21" s="3"/>
      <c r="C21" s="3" t="s">
        <v>220</v>
      </c>
    </row>
    <row r="22" spans="1:5" ht="15.75" x14ac:dyDescent="0.25">
      <c r="A22" s="1" t="s">
        <v>24</v>
      </c>
      <c r="B22" s="3"/>
      <c r="C22" s="3" t="s">
        <v>221</v>
      </c>
    </row>
    <row r="23" spans="1:5" ht="15.75" x14ac:dyDescent="0.25">
      <c r="A23" s="1"/>
      <c r="C23" s="11"/>
      <c r="E23" s="7"/>
    </row>
    <row r="24" spans="1:5" ht="15.75" x14ac:dyDescent="0.25">
      <c r="A24" s="1" t="s">
        <v>14</v>
      </c>
      <c r="C24" s="3" t="s">
        <v>222</v>
      </c>
      <c r="E24" s="7"/>
    </row>
    <row r="25" spans="1:5" ht="20.25" x14ac:dyDescent="0.3">
      <c r="A25" s="1" t="s">
        <v>6</v>
      </c>
      <c r="B25" s="5"/>
      <c r="C25" s="12"/>
      <c r="E25" s="7"/>
    </row>
    <row r="26" spans="1:5" ht="20.25" x14ac:dyDescent="0.3">
      <c r="A26" s="1"/>
      <c r="B26" s="5"/>
      <c r="C26" s="11"/>
      <c r="D26" s="9"/>
      <c r="E26" s="7"/>
    </row>
    <row r="27" spans="1:5" ht="20.25" x14ac:dyDescent="0.3">
      <c r="A27" s="10" t="s">
        <v>13</v>
      </c>
      <c r="B27" s="5"/>
      <c r="C27" s="11"/>
      <c r="D27" s="9"/>
      <c r="E27" s="7"/>
    </row>
    <row r="28" spans="1:5" ht="15.75" x14ac:dyDescent="0.25">
      <c r="A28" s="1" t="s">
        <v>8</v>
      </c>
      <c r="C28" s="13"/>
      <c r="E28" s="8"/>
    </row>
    <row r="29" spans="1:5" ht="15.75" x14ac:dyDescent="0.25">
      <c r="A29" s="1" t="s">
        <v>9</v>
      </c>
      <c r="B29" s="2"/>
      <c r="C29" s="13"/>
      <c r="E29" s="7"/>
    </row>
    <row r="30" spans="1:5" ht="15.75" x14ac:dyDescent="0.25">
      <c r="A30" s="1" t="s">
        <v>15</v>
      </c>
      <c r="C30" s="13"/>
      <c r="E30" s="7"/>
    </row>
    <row r="31" spans="1:5" ht="15.75" x14ac:dyDescent="0.25">
      <c r="A31" s="1"/>
      <c r="C31" s="11"/>
      <c r="E31" s="7"/>
    </row>
    <row r="32" spans="1:5" ht="18" x14ac:dyDescent="0.25">
      <c r="A32" s="10" t="s">
        <v>12</v>
      </c>
      <c r="C32" s="11"/>
      <c r="E32" s="8"/>
    </row>
    <row r="33" spans="1:6" ht="15.75" x14ac:dyDescent="0.25">
      <c r="A33" s="1" t="s">
        <v>4</v>
      </c>
      <c r="C33" s="30" t="s">
        <v>30</v>
      </c>
      <c r="E33" s="7"/>
    </row>
    <row r="34" spans="1:6" ht="15.75" x14ac:dyDescent="0.25">
      <c r="A34" s="1" t="s">
        <v>16</v>
      </c>
      <c r="C34" s="30" t="s">
        <v>32</v>
      </c>
      <c r="D34" s="9"/>
      <c r="E34" s="7"/>
    </row>
    <row r="35" spans="1:6" ht="15.75" x14ac:dyDescent="0.25">
      <c r="A35" s="1" t="s">
        <v>20</v>
      </c>
      <c r="C35" s="30" t="s">
        <v>31</v>
      </c>
      <c r="D35" s="9"/>
      <c r="E35" s="7"/>
    </row>
    <row r="36" spans="1:6" ht="15.75" x14ac:dyDescent="0.25">
      <c r="A36" s="1"/>
      <c r="C36" s="11"/>
      <c r="D36" s="9"/>
      <c r="E36" s="7"/>
    </row>
    <row r="37" spans="1:6" ht="13.5" thickBot="1" x14ac:dyDescent="0.25">
      <c r="D37" s="9" t="s">
        <v>10</v>
      </c>
      <c r="E37" s="7"/>
    </row>
    <row r="38" spans="1:6" ht="30" x14ac:dyDescent="0.2">
      <c r="A38" s="6" t="s">
        <v>7</v>
      </c>
      <c r="B38" s="6" t="s">
        <v>0</v>
      </c>
      <c r="C38" s="6" t="s">
        <v>1</v>
      </c>
      <c r="D38" s="6" t="s">
        <v>5</v>
      </c>
      <c r="E38" s="24" t="s">
        <v>2</v>
      </c>
      <c r="F38" s="28" t="s">
        <v>21</v>
      </c>
    </row>
    <row r="39" spans="1:6" ht="36" x14ac:dyDescent="0.25">
      <c r="A39" s="14">
        <v>1</v>
      </c>
      <c r="B39" s="35" t="s">
        <v>89</v>
      </c>
      <c r="C39" s="53" t="s">
        <v>217</v>
      </c>
      <c r="D39" s="54">
        <v>25.83</v>
      </c>
      <c r="E39" s="25">
        <f>A39*D39</f>
        <v>25.83</v>
      </c>
      <c r="F39" s="3" t="s">
        <v>90</v>
      </c>
    </row>
    <row r="40" spans="1:6" ht="15" x14ac:dyDescent="0.25">
      <c r="A40" s="14">
        <v>1</v>
      </c>
      <c r="B40" s="34" t="s">
        <v>101</v>
      </c>
      <c r="C40" t="s">
        <v>218</v>
      </c>
      <c r="D40" s="55">
        <v>12.19</v>
      </c>
      <c r="E40" s="25">
        <f>A40*D40</f>
        <v>12.19</v>
      </c>
      <c r="F40" t="s">
        <v>215</v>
      </c>
    </row>
    <row r="41" spans="1:6" ht="15.75" thickBot="1" x14ac:dyDescent="0.3">
      <c r="A41" s="33">
        <v>2</v>
      </c>
      <c r="B41" s="35" t="s">
        <v>115</v>
      </c>
      <c r="C41" s="36" t="s">
        <v>116</v>
      </c>
      <c r="D41" s="40">
        <v>3.66</v>
      </c>
      <c r="E41" s="25">
        <f t="shared" ref="E41:E42" si="0">A41*D41</f>
        <v>7.32</v>
      </c>
      <c r="F41" s="26"/>
    </row>
    <row r="42" spans="1:6" ht="15.75" x14ac:dyDescent="0.25">
      <c r="A42" s="48">
        <v>1</v>
      </c>
      <c r="B42" t="s">
        <v>211</v>
      </c>
      <c r="C42" s="46" t="s">
        <v>212</v>
      </c>
      <c r="D42" s="47">
        <v>2.4300000000000002</v>
      </c>
      <c r="E42" s="25">
        <f t="shared" si="0"/>
        <v>2.4300000000000002</v>
      </c>
      <c r="F42" s="26"/>
    </row>
    <row r="43" spans="1:6" ht="15" x14ac:dyDescent="0.25">
      <c r="E43" s="25"/>
    </row>
    <row r="44" spans="1:6" ht="15" x14ac:dyDescent="0.25">
      <c r="E44" s="25"/>
    </row>
    <row r="45" spans="1:6" ht="15" x14ac:dyDescent="0.25">
      <c r="E45" s="25"/>
    </row>
    <row r="46" spans="1:6" ht="15" x14ac:dyDescent="0.25">
      <c r="E46" s="25"/>
    </row>
    <row r="47" spans="1:6" ht="15" x14ac:dyDescent="0.25">
      <c r="E47" s="25"/>
    </row>
    <row r="48" spans="1:6" ht="15" x14ac:dyDescent="0.25">
      <c r="E48" s="25"/>
    </row>
    <row r="49" spans="4:5" ht="15" x14ac:dyDescent="0.25">
      <c r="E49" s="25"/>
    </row>
    <row r="50" spans="4:5" ht="15" x14ac:dyDescent="0.25">
      <c r="E50" s="25"/>
    </row>
    <row r="51" spans="4:5" ht="15" x14ac:dyDescent="0.25">
      <c r="E51" s="25"/>
    </row>
    <row r="52" spans="4:5" ht="15" x14ac:dyDescent="0.25">
      <c r="E52" s="25"/>
    </row>
    <row r="53" spans="4:5" ht="15" x14ac:dyDescent="0.25">
      <c r="E53" s="25"/>
    </row>
    <row r="54" spans="4:5" ht="15" x14ac:dyDescent="0.25">
      <c r="E54" s="25"/>
    </row>
    <row r="55" spans="4:5" ht="15" x14ac:dyDescent="0.25">
      <c r="E55" s="25"/>
    </row>
    <row r="56" spans="4:5" ht="15" x14ac:dyDescent="0.25">
      <c r="E56" s="25"/>
    </row>
    <row r="57" spans="4:5" ht="15" x14ac:dyDescent="0.25">
      <c r="E57" s="25"/>
    </row>
    <row r="58" spans="4:5" ht="13.5" thickBot="1" x14ac:dyDescent="0.25"/>
    <row r="59" spans="4:5" x14ac:dyDescent="0.2">
      <c r="D59" s="18" t="s">
        <v>17</v>
      </c>
      <c r="E59" s="58">
        <f>SUM(E39:E42)</f>
        <v>47.769999999999996</v>
      </c>
    </row>
    <row r="60" spans="4:5" ht="13.5" thickBot="1" x14ac:dyDescent="0.25">
      <c r="D60" s="20" t="s">
        <v>19</v>
      </c>
      <c r="E60" s="21">
        <f>E59*1.19</f>
        <v>56.846299999999992</v>
      </c>
    </row>
    <row r="61" spans="4:5" ht="13.5" thickBot="1" x14ac:dyDescent="0.25">
      <c r="D61" s="22" t="s">
        <v>18</v>
      </c>
      <c r="E61" s="23">
        <f>E66+E60</f>
        <v>56.846299999999992</v>
      </c>
    </row>
    <row r="65" spans="5:5" ht="13.5" thickBot="1" x14ac:dyDescent="0.25"/>
    <row r="66" spans="5:5" x14ac:dyDescent="0.2">
      <c r="E66" s="19"/>
    </row>
  </sheetData>
  <phoneticPr fontId="4" type="noConversion"/>
  <hyperlinks>
    <hyperlink ref="C20" r:id="rId1" display="https://www.mouser.de/contact/" xr:uid="{105F9F11-C307-4E5D-A89E-18E1C1D5683C}"/>
    <hyperlink ref="F39" r:id="rId2" xr:uid="{A706D1ED-55A7-48DC-8EC4-45927B30F654}"/>
    <hyperlink ref="C24" r:id="rId3" display="mailto:eu.support@digikey.com" xr:uid="{64C1E0B2-6D87-444D-B5D7-A80218956385}"/>
  </hyperlinks>
  <pageMargins left="0.78740157499999996" right="0.78740157499999996" top="0.984251969" bottom="0.984251969" header="0.4921259845" footer="0.4921259845"/>
  <pageSetup paperSize="9" orientation="landscape" r:id="rId4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tabSelected="1" workbookViewId="0">
      <selection activeCell="B22" sqref="B22"/>
    </sheetView>
  </sheetViews>
  <sheetFormatPr defaultColWidth="11.5703125" defaultRowHeight="12.75" x14ac:dyDescent="0.2"/>
  <sheetData>
    <row r="1" spans="1:5" ht="20.25" x14ac:dyDescent="0.3">
      <c r="A1" s="5" t="s">
        <v>11</v>
      </c>
      <c r="C1" s="11"/>
    </row>
    <row r="2" spans="1:5" ht="15.75" x14ac:dyDescent="0.25">
      <c r="A2" s="1" t="s">
        <v>22</v>
      </c>
      <c r="B2" s="4"/>
      <c r="C2" s="57" t="s">
        <v>228</v>
      </c>
    </row>
    <row r="3" spans="1:5" ht="15.75" x14ac:dyDescent="0.25">
      <c r="A3" s="1" t="s">
        <v>23</v>
      </c>
      <c r="C3" t="s">
        <v>225</v>
      </c>
    </row>
    <row r="4" spans="1:5" ht="15.75" x14ac:dyDescent="0.25">
      <c r="A4" s="1" t="s">
        <v>3</v>
      </c>
      <c r="B4" s="3"/>
      <c r="C4" t="s">
        <v>226</v>
      </c>
    </row>
    <row r="5" spans="1:5" ht="15.75" x14ac:dyDescent="0.25">
      <c r="A5" s="1" t="s">
        <v>24</v>
      </c>
      <c r="B5" s="3"/>
      <c r="C5" s="3" t="s">
        <v>227</v>
      </c>
    </row>
    <row r="6" spans="1:5" ht="15.75" x14ac:dyDescent="0.25">
      <c r="A6" s="1"/>
      <c r="C6" s="11"/>
      <c r="E6" s="7"/>
    </row>
    <row r="7" spans="1:5" ht="15.75" x14ac:dyDescent="0.25">
      <c r="A7" s="1" t="s">
        <v>14</v>
      </c>
      <c r="C7" t="s">
        <v>224</v>
      </c>
      <c r="E7" s="7"/>
    </row>
    <row r="8" spans="1:5" ht="20.25" x14ac:dyDescent="0.3">
      <c r="A8" s="1" t="s">
        <v>6</v>
      </c>
      <c r="B8" s="5"/>
      <c r="C8" s="12"/>
      <c r="E8" s="7"/>
    </row>
    <row r="9" spans="1:5" ht="20.25" x14ac:dyDescent="0.3">
      <c r="A9" s="1"/>
      <c r="B9" s="5"/>
      <c r="C9" s="11"/>
      <c r="D9" s="9"/>
      <c r="E9" s="7"/>
    </row>
    <row r="10" spans="1:5" ht="20.25" x14ac:dyDescent="0.3">
      <c r="A10" s="10" t="s">
        <v>13</v>
      </c>
      <c r="B10" s="5"/>
      <c r="C10" s="11"/>
      <c r="D10" s="9"/>
      <c r="E10" s="7"/>
    </row>
    <row r="11" spans="1:5" ht="15.75" x14ac:dyDescent="0.25">
      <c r="A11" s="1" t="s">
        <v>8</v>
      </c>
      <c r="C11" s="13"/>
      <c r="E11" s="8"/>
    </row>
    <row r="12" spans="1:5" ht="15.75" x14ac:dyDescent="0.25">
      <c r="A12" s="1" t="s">
        <v>9</v>
      </c>
      <c r="B12" s="2"/>
      <c r="C12" s="13"/>
      <c r="E12" s="7"/>
    </row>
    <row r="13" spans="1:5" ht="15.75" x14ac:dyDescent="0.25">
      <c r="A13" s="1" t="s">
        <v>15</v>
      </c>
      <c r="C13" s="13"/>
      <c r="E13" s="7"/>
    </row>
    <row r="14" spans="1:5" ht="15.75" x14ac:dyDescent="0.25">
      <c r="A14" s="1"/>
      <c r="C14" s="11"/>
      <c r="E14" s="7"/>
    </row>
    <row r="15" spans="1:5" ht="18" x14ac:dyDescent="0.25">
      <c r="A15" s="10" t="s">
        <v>12</v>
      </c>
      <c r="C15" s="11"/>
      <c r="E15" s="8"/>
    </row>
    <row r="16" spans="1:5" ht="15.75" x14ac:dyDescent="0.25">
      <c r="A16" s="1" t="s">
        <v>4</v>
      </c>
      <c r="C16" s="30" t="s">
        <v>30</v>
      </c>
      <c r="E16" s="7"/>
    </row>
    <row r="17" spans="1:6" ht="15.75" x14ac:dyDescent="0.25">
      <c r="A17" s="1" t="s">
        <v>16</v>
      </c>
      <c r="C17" s="30" t="s">
        <v>32</v>
      </c>
      <c r="D17" s="9"/>
      <c r="E17" s="7"/>
    </row>
    <row r="18" spans="1:6" ht="15.75" x14ac:dyDescent="0.25">
      <c r="A18" s="1" t="s">
        <v>20</v>
      </c>
      <c r="C18" s="30" t="s">
        <v>31</v>
      </c>
      <c r="D18" s="9"/>
      <c r="E18" s="7"/>
    </row>
    <row r="19" spans="1:6" ht="15.75" x14ac:dyDescent="0.25">
      <c r="A19" s="1"/>
      <c r="C19" s="11"/>
      <c r="D19" s="9"/>
      <c r="E19" s="7"/>
    </row>
    <row r="20" spans="1:6" ht="13.5" thickBot="1" x14ac:dyDescent="0.25">
      <c r="D20" s="9" t="s">
        <v>10</v>
      </c>
      <c r="E20" s="7"/>
    </row>
    <row r="21" spans="1:6" ht="30" x14ac:dyDescent="0.2">
      <c r="A21" s="6" t="s">
        <v>7</v>
      </c>
      <c r="B21" s="6" t="s">
        <v>0</v>
      </c>
      <c r="C21" s="6" t="s">
        <v>1</v>
      </c>
      <c r="D21" s="6" t="s">
        <v>5</v>
      </c>
      <c r="E21" s="24" t="s">
        <v>2</v>
      </c>
      <c r="F21" s="28" t="s">
        <v>21</v>
      </c>
    </row>
    <row r="22" spans="1:6" ht="16.5" thickBot="1" x14ac:dyDescent="0.3">
      <c r="A22" s="48">
        <v>1</v>
      </c>
      <c r="B22" s="59" t="s">
        <v>203</v>
      </c>
      <c r="C22" s="46" t="s">
        <v>204</v>
      </c>
      <c r="D22" s="51">
        <v>5.12</v>
      </c>
      <c r="E22" s="25">
        <f>A22*D22</f>
        <v>5.12</v>
      </c>
      <c r="F22" s="3" t="s">
        <v>216</v>
      </c>
    </row>
    <row r="23" spans="1:6" ht="15" x14ac:dyDescent="0.25">
      <c r="A23" s="14"/>
      <c r="B23" s="34"/>
      <c r="D23" s="55"/>
      <c r="E23" s="25"/>
    </row>
    <row r="24" spans="1:6" ht="15.75" thickBot="1" x14ac:dyDescent="0.3">
      <c r="A24" s="33"/>
      <c r="B24" s="35"/>
      <c r="C24" s="36"/>
      <c r="D24" s="40"/>
      <c r="E24" s="25"/>
      <c r="F24" s="26"/>
    </row>
    <row r="27" spans="1:6" ht="13.5" thickBot="1" x14ac:dyDescent="0.25"/>
    <row r="28" spans="1:6" x14ac:dyDescent="0.2">
      <c r="D28" s="18" t="s">
        <v>17</v>
      </c>
      <c r="E28" s="58">
        <f>SUM(E22:E24)</f>
        <v>5.12</v>
      </c>
    </row>
    <row r="29" spans="1:6" ht="13.5" thickBot="1" x14ac:dyDescent="0.25">
      <c r="D29" s="20" t="s">
        <v>19</v>
      </c>
      <c r="E29" s="21">
        <f>E28*1.19</f>
        <v>6.0927999999999995</v>
      </c>
    </row>
    <row r="30" spans="1:6" ht="13.5" thickBot="1" x14ac:dyDescent="0.25">
      <c r="D30" s="22" t="s">
        <v>18</v>
      </c>
      <c r="E30" s="23">
        <f>E35+E29</f>
        <v>6.0927999999999995</v>
      </c>
    </row>
  </sheetData>
  <phoneticPr fontId="4" type="noConversion"/>
  <hyperlinks>
    <hyperlink ref="F22" r:id="rId1" xr:uid="{F4751F61-8A82-449B-85DE-35E7B329F8DB}"/>
  </hyperlinks>
  <pageMargins left="0.78740157499999996" right="0.78740157499999996" top="0.984251969" bottom="0.984251969" header="0.4921259845" footer="0.4921259845"/>
  <pageSetup paperSize="9" orientation="landscape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Hochschule Karlsruhe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Fakultät Sensorik und Naturwissenschaften</dc:creator>
  <cp:lastModifiedBy>Jan Hoegen</cp:lastModifiedBy>
  <cp:lastPrinted>2025-03-18T13:42:34Z</cp:lastPrinted>
  <dcterms:created xsi:type="dcterms:W3CDTF">2009-03-10T07:48:09Z</dcterms:created>
  <dcterms:modified xsi:type="dcterms:W3CDTF">2026-08-06T20:28:52Z</dcterms:modified>
</cp:coreProperties>
</file>